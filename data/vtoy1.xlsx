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说明" sheetId="1" state="visible" r:id="rId3"/>
    <sheet name="1_系统与算法参数" sheetId="2" state="visible" r:id="rId4"/>
    <sheet name="2_计划层数据" sheetId="3" state="visible" r:id="rId5"/>
    <sheet name="3_调度层数据" sheetId="4" state="visible" r:id="rId6"/>
    <sheet name="4_订单流" sheetId="5" state="visible" r:id="rId7"/>
    <sheet name="5_预期行为轨迹" sheetId="6" state="visible" r:id="rId8"/>
    <sheet name="6_断言清单" sheetId="7" state="visible" r:id="rId9"/>
    <sheet name="7_变体设计" sheetId="8" state="visible" r:id="rId10"/>
    <sheet name="8_P1判据歧义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<sst xmlns="http://schemas.openxmlformats.org/spreadsheetml/2006/main" count="319" uniqueCount="276">
  <si>
    <r>
      <rPr>
        <b val="true"/>
        <sz val="12"/>
        <rFont val="Noto Sans CJK SC"/>
        <family val="2"/>
      </rPr>
      <t xml:space="preserve">闭环验证小算例 </t>
    </r>
    <r>
      <rPr>
        <b val="true"/>
        <sz val="12"/>
        <rFont val="等线"/>
        <family val="0"/>
        <charset val="1"/>
      </rPr>
      <t xml:space="preserve">V-toy-1</t>
    </r>
    <r>
      <rPr>
        <b val="true"/>
        <sz val="12"/>
        <rFont val="Noto Sans CJK SC"/>
        <family val="2"/>
      </rPr>
      <t xml:space="preserve">：数据包与预期行为说明</t>
    </r>
  </si>
  <si>
    <t xml:space="preserve">一、用途</t>
  </si>
  <si>
    <r>
      <rPr>
        <sz val="11"/>
        <rFont val="Noto Sans CJK SC"/>
        <family val="2"/>
      </rPr>
      <t xml:space="preserve">本算例用于阶段二步骤</t>
    </r>
    <r>
      <rPr>
        <sz val="11"/>
        <rFont val="等线"/>
        <family val="0"/>
        <charset val="1"/>
      </rPr>
      <t xml:space="preserve">5</t>
    </r>
    <r>
      <rPr>
        <sz val="11"/>
        <rFont val="Noto Sans CJK SC"/>
        <family val="2"/>
      </rPr>
      <t xml:space="preserve">的代码闭环验证（先于</t>
    </r>
    <r>
      <rPr>
        <sz val="11"/>
        <rFont val="等线"/>
        <family val="0"/>
        <charset val="1"/>
      </rPr>
      <t xml:space="preserve">Y</t>
    </r>
    <r>
      <rPr>
        <sz val="11"/>
        <rFont val="Noto Sans CJK SC"/>
        <family val="2"/>
      </rPr>
      <t xml:space="preserve">企业真实数据），目标是让算法</t>
    </r>
    <r>
      <rPr>
        <sz val="11"/>
        <rFont val="等线"/>
        <family val="0"/>
        <charset val="1"/>
      </rPr>
      <t xml:space="preserve">5-1</t>
    </r>
    <r>
      <rPr>
        <sz val="11"/>
        <rFont val="Noto Sans CJK SC"/>
        <family val="2"/>
      </rPr>
      <t xml:space="preserve">的全部分支各被触发至少一次：</t>
    </r>
  </si>
  <si>
    <r>
      <rPr>
        <sz val="11"/>
        <rFont val="等线"/>
        <family val="0"/>
        <charset val="1"/>
      </rPr>
      <t xml:space="preserve">  τ=1 </t>
    </r>
    <r>
      <rPr>
        <sz val="11"/>
        <rFont val="Noto Sans CJK SC"/>
        <family val="2"/>
      </rPr>
      <t xml:space="preserve">触发通道</t>
    </r>
    <r>
      <rPr>
        <sz val="11"/>
        <rFont val="等线"/>
        <family val="0"/>
        <charset val="1"/>
      </rPr>
      <t xml:space="preserve">1</t>
    </r>
    <r>
      <rPr>
        <sz val="11"/>
        <rFont val="Noto Sans CJK SC"/>
        <family val="2"/>
      </rPr>
      <t xml:space="preserve">成本反馈</t>
    </r>
    <r>
      <rPr>
        <sz val="11"/>
        <rFont val="等线"/>
        <family val="0"/>
        <charset val="1"/>
      </rPr>
      <t xml:space="preserve">+</t>
    </r>
    <r>
      <rPr>
        <sz val="11"/>
        <rFont val="Noto Sans CJK SC"/>
        <family val="2"/>
      </rPr>
      <t xml:space="preserve">通道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有效产能反馈（</t>
    </r>
    <r>
      <rPr>
        <sz val="11"/>
        <rFont val="等线"/>
        <family val="0"/>
        <charset val="1"/>
      </rPr>
      <t xml:space="preserve">SDST</t>
    </r>
    <r>
      <rPr>
        <sz val="11"/>
        <rFont val="Noto Sans CJK SC"/>
        <family val="2"/>
      </rPr>
      <t xml:space="preserve">致加班型不可接受，两轮反馈后冻结）；</t>
    </r>
  </si>
  <si>
    <r>
      <rPr>
        <sz val="11"/>
        <rFont val="等线"/>
        <family val="0"/>
        <charset val="1"/>
      </rPr>
      <t xml:space="preserve">  τ=2 </t>
    </r>
    <r>
      <rPr>
        <sz val="11"/>
        <rFont val="Noto Sans CJK SC"/>
        <family val="2"/>
      </rPr>
      <t xml:space="preserve">触发工人技能折减 </t>
    </r>
    <r>
      <rPr>
        <sz val="11"/>
        <rFont val="等线"/>
        <family val="0"/>
        <charset val="1"/>
      </rPr>
      <t xml:space="preserve">η&lt;1 </t>
    </r>
    <r>
      <rPr>
        <sz val="11"/>
        <rFont val="Noto Sans CJK SC"/>
        <family val="2"/>
      </rPr>
      <t xml:space="preserve">进入 </t>
    </r>
    <r>
      <rPr>
        <sz val="11"/>
        <rFont val="等线"/>
        <family val="0"/>
        <charset val="1"/>
      </rPr>
      <t xml:space="preserve">Cap_eff </t>
    </r>
    <r>
      <rPr>
        <sz val="11"/>
        <rFont val="Noto Sans CJK SC"/>
        <family val="2"/>
      </rPr>
      <t xml:space="preserve">更新（</t>
    </r>
    <r>
      <rPr>
        <sz val="11"/>
        <rFont val="等线"/>
        <family val="0"/>
        <charset val="1"/>
      </rPr>
      <t xml:space="preserve">α=3</t>
    </r>
    <r>
      <rPr>
        <sz val="11"/>
        <rFont val="Noto Sans CJK SC"/>
        <family val="2"/>
      </rPr>
      <t xml:space="preserve">工人缺勤），并验证 </t>
    </r>
    <r>
      <rPr>
        <sz val="11"/>
        <rFont val="等线"/>
        <family val="0"/>
        <charset val="1"/>
      </rPr>
      <t xml:space="preserve">k=0 </t>
    </r>
    <r>
      <rPr>
        <sz val="11"/>
        <rFont val="Noto Sans CJK SC"/>
        <family val="2"/>
      </rPr>
      <t xml:space="preserve">即冻结分支；</t>
    </r>
  </si>
  <si>
    <r>
      <rPr>
        <sz val="11"/>
        <rFont val="等线"/>
        <family val="0"/>
        <charset val="1"/>
      </rPr>
      <t xml:space="preserve">  τ=3 </t>
    </r>
    <r>
      <rPr>
        <sz val="11"/>
        <rFont val="Noto Sans CJK SC"/>
        <family val="2"/>
      </rPr>
      <t xml:space="preserve">触发通道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不可行组合割（</t>
    </r>
    <r>
      <rPr>
        <sz val="11"/>
        <rFont val="等线"/>
        <family val="0"/>
        <charset val="1"/>
      </rPr>
      <t xml:space="preserve">{B,C}</t>
    </r>
    <r>
      <rPr>
        <sz val="11"/>
        <rFont val="Noto Sans CJK SC"/>
        <family val="2"/>
      </rPr>
      <t xml:space="preserve">深度换模结构冲突），验证三步判据与割约束</t>
    </r>
    <r>
      <rPr>
        <sz val="11"/>
        <rFont val="等线"/>
        <family val="0"/>
        <charset val="1"/>
      </rPr>
      <t xml:space="preserve">(5-9)</t>
    </r>
    <r>
      <rPr>
        <sz val="11"/>
        <rFont val="Noto Sans CJK SC"/>
        <family val="2"/>
      </rPr>
      <t xml:space="preserve">；</t>
    </r>
  </si>
  <si>
    <r>
      <rPr>
        <sz val="11"/>
        <rFont val="等线"/>
        <family val="0"/>
        <charset val="1"/>
      </rPr>
      <t xml:space="preserve">  τ=4 </t>
    </r>
    <r>
      <rPr>
        <sz val="11"/>
        <rFont val="Noto Sans CJK SC"/>
        <family val="2"/>
      </rPr>
      <t xml:space="preserve">终末周期正常冻结，全链路状态（库存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延期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未完成订单）清算归零。</t>
    </r>
  </si>
  <si>
    <r>
      <rPr>
        <sz val="11"/>
        <rFont val="Noto Sans CJK SC"/>
        <family val="2"/>
      </rPr>
      <t xml:space="preserve">  变体</t>
    </r>
    <r>
      <rPr>
        <sz val="11"/>
        <rFont val="等线"/>
        <family val="0"/>
        <charset val="1"/>
      </rPr>
      <t xml:space="preserve">V2 </t>
    </r>
    <r>
      <rPr>
        <sz val="11"/>
        <rFont val="Noto Sans CJK SC"/>
        <family val="2"/>
      </rPr>
      <t xml:space="preserve">触发 </t>
    </r>
    <r>
      <rPr>
        <sz val="11"/>
        <rFont val="等线"/>
        <family val="0"/>
        <charset val="1"/>
      </rPr>
      <t xml:space="preserve">K_max </t>
    </r>
    <r>
      <rPr>
        <sz val="11"/>
        <rFont val="Noto Sans CJK SC"/>
        <family val="2"/>
      </rPr>
      <t xml:space="preserve">保护处理（算法</t>
    </r>
    <r>
      <rPr>
        <sz val="11"/>
        <rFont val="等线"/>
        <family val="0"/>
        <charset val="1"/>
      </rPr>
      <t xml:space="preserve">5-1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23~32</t>
    </r>
    <r>
      <rPr>
        <sz val="11"/>
        <rFont val="Noto Sans CJK SC"/>
        <family val="2"/>
      </rPr>
      <t xml:space="preserve">行）；</t>
    </r>
    <r>
      <rPr>
        <sz val="11"/>
        <rFont val="等线"/>
        <family val="0"/>
        <charset val="1"/>
      </rPr>
      <t xml:space="preserve">V3 </t>
    </r>
    <r>
      <rPr>
        <sz val="11"/>
        <rFont val="Noto Sans CJK SC"/>
        <family val="2"/>
      </rPr>
      <t xml:space="preserve">用精确求解对照元启发式；</t>
    </r>
    <r>
      <rPr>
        <sz val="11"/>
        <rFont val="等线"/>
        <family val="0"/>
        <charset val="1"/>
      </rPr>
      <t xml:space="preserve">V4 </t>
    </r>
    <r>
      <rPr>
        <sz val="11"/>
        <rFont val="Noto Sans CJK SC"/>
        <family val="2"/>
      </rPr>
      <t xml:space="preserve">权重敏感性。</t>
    </r>
  </si>
  <si>
    <t xml:space="preserve">二、数据口径声明（写实验章时须保留）</t>
  </si>
  <si>
    <r>
      <rPr>
        <sz val="11"/>
        <rFont val="Noto Sans CJK SC"/>
        <family val="2"/>
      </rPr>
      <t xml:space="preserve">结构性设定（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阶段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并行机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速度档位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技能向下兼容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三目标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滚动机制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反馈折算规则与系数 </t>
    </r>
    <r>
      <rPr>
        <sz val="11"/>
        <rFont val="等线"/>
        <family val="0"/>
        <charset val="1"/>
      </rPr>
      <t xml:space="preserve">γ=0.5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δ^max=1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N_restart=3</t>
    </r>
    <r>
      <rPr>
        <sz val="11"/>
        <rFont val="Noto Sans CJK SC"/>
        <family val="2"/>
      </rPr>
      <t xml:space="preserve">、权重</t>
    </r>
    <r>
      <rPr>
        <sz val="11"/>
        <rFont val="等线"/>
        <family val="0"/>
        <charset val="1"/>
      </rPr>
      <t xml:space="preserve">(0.50,0.30,0.20)</t>
    </r>
    <r>
      <rPr>
        <sz val="11"/>
        <rFont val="Noto Sans CJK SC"/>
        <family val="2"/>
      </rPr>
      <t xml:space="preserve">）严格沿用论文第</t>
    </r>
    <r>
      <rPr>
        <sz val="11"/>
        <rFont val="等线"/>
        <family val="0"/>
        <charset val="1"/>
      </rPr>
      <t xml:space="preserve">3~5</t>
    </r>
    <r>
      <rPr>
        <sz val="11"/>
        <rFont val="Noto Sans CJK SC"/>
        <family val="2"/>
      </rPr>
      <t xml:space="preserve">章既定口径；</t>
    </r>
  </si>
  <si>
    <r>
      <rPr>
        <sz val="11"/>
        <rFont val="Noto Sans CJK SC"/>
        <family val="2"/>
      </rPr>
      <t xml:space="preserve">全部数值参数（蓝色字体单元格）均为仿真示例数据，仅用于代码验证，不代表</t>
    </r>
    <r>
      <rPr>
        <sz val="11"/>
        <rFont val="等线"/>
        <family val="0"/>
        <charset val="1"/>
      </rPr>
      <t xml:space="preserve">Y</t>
    </r>
    <r>
      <rPr>
        <sz val="11"/>
        <rFont val="Noto Sans CJK SC"/>
        <family val="2"/>
      </rPr>
      <t xml:space="preserve">企业真实数据，后续以</t>
    </r>
    <r>
      <rPr>
        <sz val="11"/>
        <rFont val="等线"/>
        <family val="0"/>
        <charset val="1"/>
      </rPr>
      <t xml:space="preserve">Stage 2</t>
    </r>
    <r>
      <rPr>
        <sz val="11"/>
        <rFont val="Noto Sans CJK SC"/>
        <family val="2"/>
      </rPr>
      <t xml:space="preserve">采集数据替换。</t>
    </r>
  </si>
  <si>
    <t xml:space="preserve">三、图例</t>
  </si>
  <si>
    <r>
      <rPr>
        <sz val="11"/>
        <rFont val="Noto Sans CJK SC"/>
        <family val="2"/>
      </rPr>
      <t xml:space="preserve">蓝色字体 </t>
    </r>
    <r>
      <rPr>
        <sz val="11"/>
        <rFont val="等线"/>
        <family val="0"/>
        <charset val="1"/>
      </rPr>
      <t xml:space="preserve">= </t>
    </r>
    <r>
      <rPr>
        <sz val="11"/>
        <rFont val="Noto Sans CJK SC"/>
        <family val="2"/>
      </rPr>
      <t xml:space="preserve">仿真示例输入（可改）；黑色 </t>
    </r>
    <r>
      <rPr>
        <sz val="11"/>
        <rFont val="等线"/>
        <family val="0"/>
        <charset val="1"/>
      </rPr>
      <t xml:space="preserve">= </t>
    </r>
    <r>
      <rPr>
        <sz val="11"/>
        <rFont val="Noto Sans CJK SC"/>
        <family val="2"/>
      </rPr>
      <t xml:space="preserve">公式或论文既定值；黄色底纹 </t>
    </r>
    <r>
      <rPr>
        <sz val="11"/>
        <rFont val="等线"/>
        <family val="0"/>
        <charset val="1"/>
      </rPr>
      <t xml:space="preserve">= </t>
    </r>
    <r>
      <rPr>
        <sz val="11"/>
        <rFont val="Noto Sans CJK SC"/>
        <family val="2"/>
      </rPr>
      <t xml:space="preserve">需重点核对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触发机关所在。</t>
    </r>
  </si>
  <si>
    <r>
      <rPr>
        <sz val="11"/>
        <rFont val="Noto Sans CJK SC"/>
        <family val="2"/>
      </rPr>
      <t xml:space="preserve">时间单位：分钟；能耗口径：功率</t>
    </r>
    <r>
      <rPr>
        <sz val="11"/>
        <rFont val="等线"/>
        <family val="0"/>
        <charset val="1"/>
      </rPr>
      <t xml:space="preserve">(kW)×</t>
    </r>
    <r>
      <rPr>
        <sz val="11"/>
        <rFont val="Noto Sans CJK SC"/>
        <family val="2"/>
      </rPr>
      <t xml:space="preserve">时间</t>
    </r>
    <r>
      <rPr>
        <sz val="11"/>
        <rFont val="等线"/>
        <family val="0"/>
        <charset val="1"/>
      </rPr>
      <t xml:space="preserve">(min)</t>
    </r>
    <r>
      <rPr>
        <sz val="11"/>
        <rFont val="Noto Sans CJK SC"/>
        <family val="2"/>
      </rPr>
      <t xml:space="preserve">，记 </t>
    </r>
    <r>
      <rPr>
        <sz val="11"/>
        <rFont val="等线"/>
        <family val="0"/>
        <charset val="1"/>
      </rPr>
      <t xml:space="preserve">kW·min</t>
    </r>
    <r>
      <rPr>
        <sz val="11"/>
        <rFont val="Noto Sans CJK SC"/>
        <family val="2"/>
      </rPr>
      <t xml:space="preserve">（除以</t>
    </r>
    <r>
      <rPr>
        <sz val="11"/>
        <rFont val="等线"/>
        <family val="0"/>
        <charset val="1"/>
      </rPr>
      <t xml:space="preserve">60</t>
    </r>
    <r>
      <rPr>
        <sz val="11"/>
        <rFont val="Noto Sans CJK SC"/>
        <family val="2"/>
      </rPr>
      <t xml:space="preserve">即</t>
    </r>
    <r>
      <rPr>
        <sz val="11"/>
        <rFont val="等线"/>
        <family val="0"/>
        <charset val="1"/>
      </rPr>
      <t xml:space="preserve">kWh</t>
    </r>
    <r>
      <rPr>
        <sz val="11"/>
        <rFont val="Noto Sans CJK SC"/>
        <family val="2"/>
      </rPr>
      <t xml:space="preserve">）；成本单位：元。</t>
    </r>
  </si>
  <si>
    <t xml:space="preserve">一、规模与滚动机制（结构沿用论文）</t>
  </si>
  <si>
    <t xml:space="preserve">参数</t>
  </si>
  <si>
    <t xml:space="preserve">符号</t>
  </si>
  <si>
    <t xml:space="preserve">取值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</si>
  <si>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等线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说明</t>
    </r>
  </si>
  <si>
    <t xml:space="preserve">产品集合</t>
  </si>
  <si>
    <t xml:space="preserve">P</t>
  </si>
  <si>
    <t xml:space="preserve">A, B, C</t>
  </si>
  <si>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类产品族（电烤炉系列，示例）</t>
    </r>
  </si>
  <si>
    <t xml:space="preserve">加工阶段</t>
  </si>
  <si>
    <t xml:space="preserve">J</t>
  </si>
  <si>
    <r>
      <rPr>
        <sz val="11"/>
        <color rgb="FF0000FF"/>
        <rFont val="等线"/>
        <family val="0"/>
        <charset val="1"/>
      </rPr>
      <t xml:space="preserve">1=SMT, 2=DIP, 3=</t>
    </r>
    <r>
      <rPr>
        <sz val="11"/>
        <color rgb="FF0000FF"/>
        <rFont val="Noto Sans CJK SC"/>
        <family val="2"/>
      </rPr>
      <t xml:space="preserve">组装</t>
    </r>
  </si>
  <si>
    <r>
      <rPr>
        <sz val="11"/>
        <rFont val="Noto Sans CJK SC"/>
        <family val="2"/>
      </rPr>
      <t xml:space="preserve">论文</t>
    </r>
    <r>
      <rPr>
        <sz val="11"/>
        <rFont val="等线"/>
        <family val="0"/>
        <charset val="1"/>
      </rPr>
      <t xml:space="preserve">2/4</t>
    </r>
    <r>
      <rPr>
        <sz val="11"/>
        <rFont val="Noto Sans CJK SC"/>
        <family val="2"/>
      </rPr>
      <t xml:space="preserve">章工艺路线</t>
    </r>
  </si>
  <si>
    <t xml:space="preserve">各阶段并行机</t>
  </si>
  <si>
    <t xml:space="preserve">M_j</t>
  </si>
  <si>
    <t xml:space="preserve">M1={M11,M12}; M2={M21}; M3={M31,M32}</t>
  </si>
  <si>
    <r>
      <rPr>
        <sz val="11"/>
        <rFont val="等线"/>
        <family val="0"/>
        <charset val="1"/>
      </rPr>
      <t xml:space="preserve">DIP</t>
    </r>
    <r>
      <rPr>
        <sz val="11"/>
        <rFont val="Noto Sans CJK SC"/>
        <family val="2"/>
      </rPr>
      <t xml:space="preserve">单机</t>
    </r>
    <r>
      <rPr>
        <sz val="11"/>
        <rFont val="等线"/>
        <family val="0"/>
        <charset val="1"/>
      </rPr>
      <t xml:space="preserve">=</t>
    </r>
    <r>
      <rPr>
        <sz val="11"/>
        <rFont val="Noto Sans CJK SC"/>
        <family val="2"/>
      </rPr>
      <t xml:space="preserve">瓶颈（示例配置）</t>
    </r>
  </si>
  <si>
    <t xml:space="preserve">速度档位</t>
  </si>
  <si>
    <t xml:space="preserve">S</t>
  </si>
  <si>
    <t xml:space="preserve">{1,2,3}</t>
  </si>
  <si>
    <t xml:space="preserve">论文既定三档结构</t>
  </si>
  <si>
    <t xml:space="preserve">速度时间系数</t>
  </si>
  <si>
    <t xml:space="preserve">θ_s</t>
  </si>
  <si>
    <t xml:space="preserve">s=1:1.00; s=2:0.90; s=3:0.80</t>
  </si>
  <si>
    <r>
      <rPr>
        <sz val="11"/>
        <rFont val="Noto Sans CJK SC"/>
        <family val="2"/>
      </rPr>
      <t xml:space="preserve">示例；</t>
    </r>
    <r>
      <rPr>
        <sz val="11"/>
        <rFont val="等线"/>
        <family val="0"/>
        <charset val="1"/>
      </rPr>
      <t xml:space="preserve">PT=</t>
    </r>
    <r>
      <rPr>
        <sz val="11"/>
        <rFont val="Noto Sans CJK SC"/>
        <family val="2"/>
      </rPr>
      <t xml:space="preserve">基准</t>
    </r>
    <r>
      <rPr>
        <sz val="11"/>
        <rFont val="等线"/>
        <family val="0"/>
        <charset val="1"/>
      </rPr>
      <t xml:space="preserve">×θ_s</t>
    </r>
  </si>
  <si>
    <t xml:space="preserve">技能等级</t>
  </si>
  <si>
    <t xml:space="preserve">L</t>
  </si>
  <si>
    <r>
      <rPr>
        <sz val="11"/>
        <color rgb="FF0000FF"/>
        <rFont val="等线"/>
        <family val="0"/>
        <charset val="1"/>
      </rPr>
      <t xml:space="preserve">{1,2,3}</t>
    </r>
    <r>
      <rPr>
        <sz val="11"/>
        <color rgb="FF0000FF"/>
        <rFont val="Noto Sans CJK SC"/>
        <family val="2"/>
      </rPr>
      <t xml:space="preserve">，向下兼容 </t>
    </r>
    <r>
      <rPr>
        <sz val="11"/>
        <color rgb="FF0000FF"/>
        <rFont val="等线"/>
        <family val="0"/>
        <charset val="1"/>
      </rPr>
      <t xml:space="preserve">s≤α</t>
    </r>
  </si>
  <si>
    <t xml:space="preserve">论文既定</t>
  </si>
  <si>
    <t xml:space="preserve">最大计划周期</t>
  </si>
  <si>
    <t xml:space="preserve">T_max</t>
  </si>
  <si>
    <t xml:space="preserve">示例</t>
  </si>
  <si>
    <t xml:space="preserve">滚动窗口长度</t>
  </si>
  <si>
    <t xml:space="preserve">H_w</t>
  </si>
  <si>
    <r>
      <rPr>
        <sz val="11"/>
        <rFont val="Noto Sans CJK SC"/>
        <family val="2"/>
      </rPr>
      <t xml:space="preserve">示例；</t>
    </r>
    <r>
      <rPr>
        <sz val="11"/>
        <rFont val="等线"/>
        <family val="0"/>
        <charset val="1"/>
      </rPr>
      <t xml:space="preserve">R_1={1,2,3}</t>
    </r>
  </si>
  <si>
    <t xml:space="preserve">冻结长度</t>
  </si>
  <si>
    <t xml:space="preserve">H_f</t>
  </si>
  <si>
    <t xml:space="preserve">周期标准可用工时</t>
  </si>
  <si>
    <t xml:space="preserve">T_t^avail</t>
  </si>
  <si>
    <r>
      <rPr>
        <sz val="11"/>
        <rFont val="Noto Sans CJK SC"/>
        <family val="2"/>
      </rPr>
      <t xml:space="preserve">一班</t>
    </r>
    <r>
      <rPr>
        <sz val="11"/>
        <rFont val="等线"/>
        <family val="0"/>
        <charset val="1"/>
      </rPr>
      <t xml:space="preserve">8</t>
    </r>
    <r>
      <rPr>
        <sz val="11"/>
        <rFont val="Noto Sans CJK SC"/>
        <family val="2"/>
      </rPr>
      <t xml:space="preserve">小时（示例）</t>
    </r>
  </si>
  <si>
    <t xml:space="preserve">最大加班时长</t>
  </si>
  <si>
    <t xml:space="preserve">OT_t^max</t>
  </si>
  <si>
    <t xml:space="preserve">运输时间</t>
  </si>
  <si>
    <t xml:space="preserve">T_(i,j-1,j,w,f)</t>
  </si>
  <si>
    <r>
      <rPr>
        <sz val="11"/>
        <rFont val="Noto Sans CJK SC"/>
        <family val="2"/>
      </rPr>
      <t xml:space="preserve">全部取</t>
    </r>
    <r>
      <rPr>
        <sz val="11"/>
        <rFont val="等线"/>
        <family val="0"/>
        <charset val="1"/>
      </rPr>
      <t xml:space="preserve">5 min</t>
    </r>
    <r>
      <rPr>
        <sz val="11"/>
        <rFont val="Noto Sans CJK SC"/>
        <family val="2"/>
      </rPr>
      <t xml:space="preserve">（示例）</t>
    </r>
  </si>
  <si>
    <t xml:space="preserve">二、反馈与算法参数</t>
  </si>
  <si>
    <t xml:space="preserve">代表解权重</t>
  </si>
  <si>
    <t xml:space="preserve">(ω_C,ω_L,ω_E)</t>
  </si>
  <si>
    <t xml:space="preserve">(0.50, 0.30, 0.20)</t>
  </si>
  <si>
    <r>
      <rPr>
        <sz val="11"/>
        <rFont val="Noto Sans CJK SC"/>
        <family val="2"/>
      </rPr>
      <t xml:space="preserve">论文</t>
    </r>
    <r>
      <rPr>
        <sz val="11"/>
        <rFont val="等线"/>
        <family val="0"/>
        <charset val="1"/>
      </rPr>
      <t xml:space="preserve">5.3.2</t>
    </r>
    <r>
      <rPr>
        <sz val="11"/>
        <rFont val="Noto Sans CJK SC"/>
        <family val="2"/>
      </rPr>
      <t xml:space="preserve">默认值</t>
    </r>
  </si>
  <si>
    <t xml:space="preserve">成本反馈阻尼</t>
  </si>
  <si>
    <t xml:space="preserve">γ</t>
  </si>
  <si>
    <r>
      <rPr>
        <sz val="11"/>
        <rFont val="Noto Sans CJK SC"/>
        <family val="2"/>
      </rPr>
      <t xml:space="preserve">论文</t>
    </r>
    <r>
      <rPr>
        <sz val="11"/>
        <rFont val="等线"/>
        <family val="0"/>
        <charset val="1"/>
      </rPr>
      <t xml:space="preserve">5.2.1</t>
    </r>
    <r>
      <rPr>
        <sz val="11"/>
        <rFont val="Noto Sans CJK SC"/>
        <family val="2"/>
      </rPr>
      <t xml:space="preserve">既定</t>
    </r>
  </si>
  <si>
    <t xml:space="preserve">成本反馈上界系数</t>
  </si>
  <si>
    <t xml:space="preserve">δ^max</t>
  </si>
  <si>
    <r>
      <rPr>
        <sz val="11"/>
        <rFont val="Noto Sans CJK SC"/>
        <family val="2"/>
      </rPr>
      <t xml:space="preserve">论文</t>
    </r>
    <r>
      <rPr>
        <sz val="11"/>
        <rFont val="等线"/>
        <family val="0"/>
        <charset val="1"/>
      </rPr>
      <t xml:space="preserve">5.2.1</t>
    </r>
    <r>
      <rPr>
        <sz val="11"/>
        <rFont val="Noto Sans CJK SC"/>
        <family val="2"/>
      </rPr>
      <t xml:space="preserve">既定：</t>
    </r>
    <r>
      <rPr>
        <sz val="11"/>
        <rFont val="等线"/>
        <family val="0"/>
        <charset val="1"/>
      </rPr>
      <t xml:space="preserve">Δc≤δ^max·c_p</t>
    </r>
  </si>
  <si>
    <t xml:space="preserve">割生成重启次数</t>
  </si>
  <si>
    <t xml:space="preserve">N_restart</t>
  </si>
  <si>
    <r>
      <rPr>
        <sz val="11"/>
        <rFont val="Noto Sans CJK SC"/>
        <family val="2"/>
      </rPr>
      <t xml:space="preserve">折算系数</t>
    </r>
    <r>
      <rPr>
        <sz val="11"/>
        <rFont val="等线"/>
        <family val="0"/>
        <charset val="1"/>
      </rPr>
      <t xml:space="preserve">-</t>
    </r>
    <r>
      <rPr>
        <sz val="11"/>
        <rFont val="Noto Sans CJK SC"/>
        <family val="2"/>
      </rPr>
      <t xml:space="preserve">加班</t>
    </r>
  </si>
  <si>
    <t xml:space="preserve">κ_C</t>
  </si>
  <si>
    <r>
      <rPr>
        <sz val="11"/>
        <rFont val="Noto Sans CJK SC"/>
        <family val="2"/>
      </rPr>
      <t xml:space="preserve">元</t>
    </r>
    <r>
      <rPr>
        <sz val="11"/>
        <rFont val="等线"/>
        <family val="0"/>
        <charset val="1"/>
      </rPr>
      <t xml:space="preserve">/min</t>
    </r>
    <r>
      <rPr>
        <sz val="11"/>
        <rFont val="Noto Sans CJK SC"/>
        <family val="2"/>
      </rPr>
      <t xml:space="preserve">（示例）</t>
    </r>
  </si>
  <si>
    <r>
      <rPr>
        <sz val="11"/>
        <rFont val="Noto Sans CJK SC"/>
        <family val="2"/>
      </rPr>
      <t xml:space="preserve">折算系数</t>
    </r>
    <r>
      <rPr>
        <sz val="11"/>
        <rFont val="等线"/>
        <family val="0"/>
        <charset val="1"/>
      </rPr>
      <t xml:space="preserve">-</t>
    </r>
    <r>
      <rPr>
        <sz val="11"/>
        <rFont val="Noto Sans CJK SC"/>
        <family val="2"/>
      </rPr>
      <t xml:space="preserve">人力增量</t>
    </r>
  </si>
  <si>
    <t xml:space="preserve">κ_L</t>
  </si>
  <si>
    <r>
      <rPr>
        <sz val="11"/>
        <rFont val="Noto Sans CJK SC"/>
        <family val="2"/>
      </rPr>
      <t xml:space="preserve">无量纲（示例）；作用于</t>
    </r>
    <r>
      <rPr>
        <sz val="11"/>
        <rFont val="等线"/>
        <family val="0"/>
        <charset val="1"/>
      </rPr>
      <t xml:space="preserve">max{0,LC-LC_base}</t>
    </r>
  </si>
  <si>
    <r>
      <rPr>
        <sz val="11"/>
        <rFont val="Noto Sans CJK SC"/>
        <family val="2"/>
      </rPr>
      <t xml:space="preserve">折算系数</t>
    </r>
    <r>
      <rPr>
        <sz val="11"/>
        <rFont val="等线"/>
        <family val="0"/>
        <charset val="1"/>
      </rPr>
      <t xml:space="preserve">-</t>
    </r>
    <r>
      <rPr>
        <sz val="11"/>
        <rFont val="Noto Sans CJK SC"/>
        <family val="2"/>
      </rPr>
      <t xml:space="preserve">能耗增量</t>
    </r>
  </si>
  <si>
    <t xml:space="preserve">κ_E</t>
  </si>
  <si>
    <r>
      <rPr>
        <sz val="11"/>
        <rFont val="Noto Sans CJK SC"/>
        <family val="2"/>
      </rPr>
      <t xml:space="preserve">元</t>
    </r>
    <r>
      <rPr>
        <sz val="11"/>
        <rFont val="等线"/>
        <family val="0"/>
        <charset val="1"/>
      </rPr>
      <t xml:space="preserve">/(kW·min)</t>
    </r>
    <r>
      <rPr>
        <sz val="11"/>
        <rFont val="Noto Sans CJK SC"/>
        <family val="2"/>
      </rPr>
      <t xml:space="preserve">（示例）；作用于</t>
    </r>
    <r>
      <rPr>
        <sz val="11"/>
        <rFont val="等线"/>
        <family val="0"/>
        <charset val="1"/>
      </rPr>
      <t xml:space="preserve">max{0,E-E_base}</t>
    </r>
  </si>
  <si>
    <r>
      <rPr>
        <sz val="11"/>
        <rFont val="Noto Sans CJK SC"/>
        <family val="2"/>
      </rPr>
      <t xml:space="preserve">折算系数</t>
    </r>
    <r>
      <rPr>
        <sz val="11"/>
        <rFont val="等线"/>
        <family val="0"/>
        <charset val="1"/>
      </rPr>
      <t xml:space="preserve">-SDST</t>
    </r>
  </si>
  <si>
    <t xml:space="preserve">κ_S</t>
  </si>
  <si>
    <r>
      <rPr>
        <sz val="11"/>
        <rFont val="Noto Sans CJK SC"/>
        <family val="2"/>
      </rPr>
      <t xml:space="preserve">元</t>
    </r>
    <r>
      <rPr>
        <sz val="11"/>
        <rFont val="等线"/>
        <family val="0"/>
        <charset val="1"/>
      </rPr>
      <t xml:space="preserve">/min</t>
    </r>
    <r>
      <rPr>
        <sz val="11"/>
        <rFont val="Noto Sans CJK SC"/>
        <family val="2"/>
      </rPr>
      <t xml:space="preserve">（示例）；显著小于机时费率</t>
    </r>
    <r>
      <rPr>
        <sz val="11"/>
        <rFont val="等线"/>
        <family val="0"/>
        <charset val="1"/>
      </rPr>
      <t xml:space="preserve">κ_C</t>
    </r>
  </si>
  <si>
    <t xml:space="preserve">调度可接受度阈值</t>
  </si>
  <si>
    <t xml:space="preserve">ρ_min</t>
  </si>
  <si>
    <r>
      <rPr>
        <sz val="11"/>
        <rFont val="Noto Sans CJK SC"/>
        <family val="2"/>
      </rPr>
      <t xml:space="preserve">示例；</t>
    </r>
    <r>
      <rPr>
        <sz val="11"/>
        <rFont val="等线"/>
        <family val="0"/>
        <charset val="1"/>
      </rPr>
      <t xml:space="preserve">ρ</t>
    </r>
    <r>
      <rPr>
        <sz val="11"/>
        <rFont val="Noto Sans CJK SC"/>
        <family val="2"/>
      </rPr>
      <t xml:space="preserve">按式</t>
    </r>
    <r>
      <rPr>
        <sz val="11"/>
        <rFont val="等线"/>
        <family val="0"/>
        <charset val="1"/>
      </rPr>
      <t xml:space="preserve">(5-15)</t>
    </r>
    <r>
      <rPr>
        <sz val="11"/>
        <rFont val="Noto Sans CJK SC"/>
        <family val="2"/>
      </rPr>
      <t xml:space="preserve">计算</t>
    </r>
  </si>
  <si>
    <t xml:space="preserve">目标改善阈值</t>
  </si>
  <si>
    <t xml:space="preserve">ε_P</t>
  </si>
  <si>
    <t xml:space="preserve">最大反馈迭代次数</t>
  </si>
  <si>
    <t xml:space="preserve">K_max</t>
  </si>
  <si>
    <r>
      <rPr>
        <i val="true"/>
        <sz val="10"/>
        <color rgb="FF808080"/>
        <rFont val="Noto Sans CJK SC"/>
        <family val="2"/>
      </rPr>
      <t xml:space="preserve">注：</t>
    </r>
    <r>
      <rPr>
        <i val="true"/>
        <sz val="10"/>
        <color rgb="FF808080"/>
        <rFont val="等线"/>
        <family val="0"/>
        <charset val="1"/>
      </rPr>
      <t xml:space="preserve">γ</t>
    </r>
    <r>
      <rPr>
        <i val="true"/>
        <sz val="10"/>
        <color rgb="FF808080"/>
        <rFont val="Noto Sans CJK SC"/>
        <family val="2"/>
      </rPr>
      <t xml:space="preserve">、</t>
    </r>
    <r>
      <rPr>
        <i val="true"/>
        <sz val="10"/>
        <color rgb="FF808080"/>
        <rFont val="等线"/>
        <family val="0"/>
        <charset val="1"/>
      </rPr>
      <t xml:space="preserve">δ^max</t>
    </r>
    <r>
      <rPr>
        <i val="true"/>
        <sz val="10"/>
        <color rgb="FF808080"/>
        <rFont val="Noto Sans CJK SC"/>
        <family val="2"/>
      </rPr>
      <t xml:space="preserve">、</t>
    </r>
    <r>
      <rPr>
        <i val="true"/>
        <sz val="10"/>
        <color rgb="FF808080"/>
        <rFont val="等线"/>
        <family val="0"/>
        <charset val="1"/>
      </rPr>
      <t xml:space="preserve">N_restart</t>
    </r>
    <r>
      <rPr>
        <i val="true"/>
        <sz val="10"/>
        <color rgb="FF808080"/>
        <rFont val="Noto Sans CJK SC"/>
        <family val="2"/>
      </rPr>
      <t xml:space="preserve">、权重为论文正文既定值；</t>
    </r>
    <r>
      <rPr>
        <i val="true"/>
        <sz val="10"/>
        <color rgb="FF808080"/>
        <rFont val="等线"/>
        <family val="0"/>
        <charset val="1"/>
      </rPr>
      <t xml:space="preserve">κ</t>
    </r>
    <r>
      <rPr>
        <i val="true"/>
        <sz val="10"/>
        <color rgb="FF808080"/>
        <rFont val="Noto Sans CJK SC"/>
        <family val="2"/>
      </rPr>
      <t xml:space="preserve">与阈值为示例，标定实验（</t>
    </r>
    <r>
      <rPr>
        <i val="true"/>
        <sz val="10"/>
        <color rgb="FF808080"/>
        <rFont val="等线"/>
        <family val="0"/>
        <charset val="1"/>
      </rPr>
      <t xml:space="preserve">5.5</t>
    </r>
    <r>
      <rPr>
        <i val="true"/>
        <sz val="10"/>
        <color rgb="FF808080"/>
        <rFont val="Noto Sans CJK SC"/>
        <family val="2"/>
      </rPr>
      <t xml:space="preserve">节）时再联合调参。</t>
    </r>
  </si>
  <si>
    <t xml:space="preserve">一、产品成本与批量参数（示例数据）</t>
  </si>
  <si>
    <r>
      <rPr>
        <b val="true"/>
        <sz val="11"/>
        <color rgb="FFFFFFFF"/>
        <rFont val="Noto Sans CJK SC"/>
        <family val="2"/>
      </rPr>
      <t xml:space="preserve">产品</t>
    </r>
    <r>
      <rPr>
        <b val="true"/>
        <sz val="11"/>
        <color rgb="FFFFFFFF"/>
        <rFont val="等线"/>
        <family val="0"/>
        <charset val="1"/>
      </rPr>
      <t xml:space="preserve">p</t>
    </r>
  </si>
  <si>
    <r>
      <rPr>
        <b val="true"/>
        <sz val="11"/>
        <color rgb="FFFFFFFF"/>
        <rFont val="Noto Sans CJK SC"/>
        <family val="2"/>
      </rPr>
      <t xml:space="preserve">单位生产成本</t>
    </r>
    <r>
      <rPr>
        <b val="true"/>
        <sz val="11"/>
        <color rgb="FFFFFFFF"/>
        <rFont val="等线"/>
        <family val="0"/>
        <charset val="1"/>
      </rPr>
      <t xml:space="preserve">c_p</t>
    </r>
  </si>
  <si>
    <r>
      <rPr>
        <b val="true"/>
        <sz val="11"/>
        <color rgb="FFFFFFFF"/>
        <rFont val="Noto Sans CJK SC"/>
        <family val="2"/>
      </rPr>
      <t xml:space="preserve">单位库存成本</t>
    </r>
    <r>
      <rPr>
        <b val="true"/>
        <sz val="11"/>
        <color rgb="FFFFFFFF"/>
        <rFont val="等线"/>
        <family val="0"/>
        <charset val="1"/>
      </rPr>
      <t xml:space="preserve">h_p</t>
    </r>
  </si>
  <si>
    <r>
      <rPr>
        <b val="true"/>
        <sz val="11"/>
        <color rgb="FFFFFFFF"/>
        <rFont val="Noto Sans CJK SC"/>
        <family val="2"/>
      </rPr>
      <t xml:space="preserve">单位延期惩罚</t>
    </r>
    <r>
      <rPr>
        <b val="true"/>
        <sz val="11"/>
        <color rgb="FFFFFFFF"/>
        <rFont val="等线"/>
        <family val="0"/>
        <charset val="1"/>
      </rPr>
      <t xml:space="preserve">b_p</t>
    </r>
  </si>
  <si>
    <r>
      <rPr>
        <b val="true"/>
        <sz val="11"/>
        <color rgb="FFFFFFFF"/>
        <rFont val="Noto Sans CJK SC"/>
        <family val="2"/>
      </rPr>
      <t xml:space="preserve">启动成本</t>
    </r>
    <r>
      <rPr>
        <b val="true"/>
        <sz val="11"/>
        <color rgb="FFFFFFFF"/>
        <rFont val="等线"/>
        <family val="0"/>
        <charset val="1"/>
      </rPr>
      <t xml:space="preserve">g_p</t>
    </r>
  </si>
  <si>
    <r>
      <rPr>
        <b val="true"/>
        <sz val="11"/>
        <color rgb="FFFFFFFF"/>
        <rFont val="Noto Sans CJK SC"/>
        <family val="2"/>
      </rPr>
      <t xml:space="preserve">最大子批批量</t>
    </r>
    <r>
      <rPr>
        <b val="true"/>
        <sz val="11"/>
        <color rgb="FFFFFFFF"/>
        <rFont val="等线"/>
        <family val="0"/>
        <charset val="1"/>
      </rPr>
      <t xml:space="preserve">U_p^lot</t>
    </r>
  </si>
  <si>
    <t xml:space="preserve">A</t>
  </si>
  <si>
    <t xml:space="preserve">B</t>
  </si>
  <si>
    <t xml:space="preserve">C</t>
  </si>
  <si>
    <r>
      <rPr>
        <i val="true"/>
        <sz val="10"/>
        <color rgb="FF808080"/>
        <rFont val="Noto Sans CJK SC"/>
        <family val="2"/>
      </rPr>
      <t xml:space="preserve">机关：</t>
    </r>
    <r>
      <rPr>
        <i val="true"/>
        <sz val="10"/>
        <color rgb="FF808080"/>
        <rFont val="等线"/>
        <family val="0"/>
        <charset val="1"/>
      </rPr>
      <t xml:space="preserve">b_B=8</t>
    </r>
    <r>
      <rPr>
        <i val="true"/>
        <sz val="10"/>
        <color rgb="FF808080"/>
        <rFont val="Noto Sans CJK SC"/>
        <family val="2"/>
      </rPr>
      <t xml:space="preserve">最小 → 保护处理</t>
    </r>
    <r>
      <rPr>
        <i val="true"/>
        <sz val="10"/>
        <color rgb="FF808080"/>
        <rFont val="等线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变体</t>
    </r>
    <r>
      <rPr>
        <i val="true"/>
        <sz val="10"/>
        <color rgb="FF808080"/>
        <rFont val="等线"/>
        <family val="0"/>
        <charset val="1"/>
      </rPr>
      <t xml:space="preserve">V2)</t>
    </r>
    <r>
      <rPr>
        <i val="true"/>
        <sz val="10"/>
        <color rgb="FF808080"/>
        <rFont val="Noto Sans CJK SC"/>
        <family val="2"/>
      </rPr>
      <t xml:space="preserve">按</t>
    </r>
    <r>
      <rPr>
        <i val="true"/>
        <sz val="10"/>
        <color rgb="FF808080"/>
        <rFont val="等线"/>
        <family val="0"/>
        <charset val="1"/>
      </rPr>
      <t xml:space="preserve">b_p</t>
    </r>
    <r>
      <rPr>
        <i val="true"/>
        <sz val="10"/>
        <color rgb="FF808080"/>
        <rFont val="Noto Sans CJK SC"/>
        <family val="2"/>
      </rPr>
      <t xml:space="preserve">升序应首先移出</t>
    </r>
    <r>
      <rPr>
        <i val="true"/>
        <sz val="10"/>
        <color rgb="FF808080"/>
        <rFont val="等线"/>
        <family val="0"/>
        <charset val="1"/>
      </rPr>
      <t xml:space="preserve">B</t>
    </r>
    <r>
      <rPr>
        <i val="true"/>
        <sz val="10"/>
        <color rgb="FF808080"/>
        <rFont val="Noto Sans CJK SC"/>
        <family val="2"/>
      </rPr>
      <t xml:space="preserve">；</t>
    </r>
    <r>
      <rPr>
        <i val="true"/>
        <sz val="10"/>
        <color rgb="FF808080"/>
        <rFont val="等线"/>
        <family val="0"/>
        <charset val="1"/>
      </rPr>
      <t xml:space="preserve">τ=3</t>
    </r>
    <r>
      <rPr>
        <i val="true"/>
        <sz val="10"/>
        <color rgb="FF808080"/>
        <rFont val="Noto Sans CJK SC"/>
        <family val="2"/>
      </rPr>
      <t xml:space="preserve">割后重解比较移</t>
    </r>
    <r>
      <rPr>
        <i val="true"/>
        <sz val="10"/>
        <color rgb="FF808080"/>
        <rFont val="等线"/>
        <family val="0"/>
        <charset val="1"/>
      </rPr>
      <t xml:space="preserve">B(14×8=112)</t>
    </r>
    <r>
      <rPr>
        <i val="true"/>
        <sz val="10"/>
        <color rgb="FF808080"/>
        <rFont val="Noto Sans CJK SC"/>
        <family val="2"/>
      </rPr>
      <t xml:space="preserve">与移</t>
    </r>
    <r>
      <rPr>
        <i val="true"/>
        <sz val="10"/>
        <color rgb="FF808080"/>
        <rFont val="等线"/>
        <family val="0"/>
        <charset val="1"/>
      </rPr>
      <t xml:space="preserve">C(6×12=72) → </t>
    </r>
    <r>
      <rPr>
        <i val="true"/>
        <sz val="10"/>
        <color rgb="FF808080"/>
        <rFont val="Noto Sans CJK SC"/>
        <family val="2"/>
      </rPr>
      <t xml:space="preserve">预计移</t>
    </r>
    <r>
      <rPr>
        <i val="true"/>
        <sz val="10"/>
        <color rgb="FF808080"/>
        <rFont val="等线"/>
        <family val="0"/>
        <charset val="1"/>
      </rPr>
      <t xml:space="preserve">C</t>
    </r>
    <r>
      <rPr>
        <i val="true"/>
        <sz val="10"/>
        <color rgb="FF808080"/>
        <rFont val="Noto Sans CJK SC"/>
        <family val="2"/>
      </rPr>
      <t xml:space="preserve">。</t>
    </r>
  </si>
  <si>
    <r>
      <rPr>
        <b val="true"/>
        <sz val="12"/>
        <rFont val="Noto Sans CJK SC"/>
        <family val="2"/>
      </rPr>
      <t xml:space="preserve">二、单位产量能力占用 </t>
    </r>
    <r>
      <rPr>
        <b val="true"/>
        <sz val="12"/>
        <rFont val="等线"/>
        <family val="0"/>
        <charset val="1"/>
      </rPr>
      <t xml:space="preserve">a_{p,j}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等线"/>
        <family val="0"/>
        <charset val="1"/>
      </rPr>
      <t xml:space="preserve">=</t>
    </r>
    <r>
      <rPr>
        <b val="true"/>
        <sz val="12"/>
        <rFont val="Noto Sans CJK SC"/>
        <family val="2"/>
      </rPr>
      <t xml:space="preserve">档位</t>
    </r>
    <r>
      <rPr>
        <b val="true"/>
        <sz val="12"/>
        <rFont val="等线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单件加工时间均值，论文假设</t>
    </r>
    <r>
      <rPr>
        <b val="true"/>
        <sz val="12"/>
        <rFont val="等线"/>
        <family val="0"/>
        <charset val="1"/>
      </rPr>
      <t xml:space="preserve">(4)</t>
    </r>
    <r>
      <rPr>
        <b val="true"/>
        <sz val="12"/>
        <rFont val="Noto Sans CJK SC"/>
        <family val="2"/>
      </rPr>
      <t xml:space="preserve">口径）</t>
    </r>
  </si>
  <si>
    <t xml:space="preserve">j=1 SMT</t>
  </si>
  <si>
    <t xml:space="preserve">j=2 DIP</t>
  </si>
  <si>
    <r>
      <rPr>
        <b val="true"/>
        <sz val="11"/>
        <color rgb="FFFFFFFF"/>
        <rFont val="等线"/>
        <family val="0"/>
        <charset val="1"/>
      </rPr>
      <t xml:space="preserve">j=3 </t>
    </r>
    <r>
      <rPr>
        <b val="true"/>
        <sz val="11"/>
        <color rgb="FFFFFFFF"/>
        <rFont val="Noto Sans CJK SC"/>
        <family val="2"/>
      </rPr>
      <t xml:space="preserve">组装</t>
    </r>
  </si>
  <si>
    <r>
      <rPr>
        <b val="true"/>
        <sz val="12"/>
        <rFont val="Noto Sans CJK SC"/>
        <family val="2"/>
      </rPr>
      <t xml:space="preserve">三、名义产能 </t>
    </r>
    <r>
      <rPr>
        <b val="true"/>
        <sz val="12"/>
        <rFont val="等线"/>
        <family val="0"/>
        <charset val="1"/>
      </rPr>
      <t xml:space="preserve">Cap_{j,t}^nom = T_t^avail × Σ_f A_{j,f,t}</t>
    </r>
    <r>
      <rPr>
        <b val="true"/>
        <sz val="12"/>
        <rFont val="Noto Sans CJK SC"/>
        <family val="2"/>
      </rPr>
      <t xml:space="preserve">（机器时间口径）</t>
    </r>
  </si>
  <si>
    <r>
      <rPr>
        <b val="true"/>
        <sz val="11"/>
        <color rgb="FFFFFFFF"/>
        <rFont val="Noto Sans CJK SC"/>
        <family val="2"/>
      </rPr>
      <t xml:space="preserve">阶段</t>
    </r>
    <r>
      <rPr>
        <b val="true"/>
        <sz val="11"/>
        <color rgb="FFFFFFFF"/>
        <rFont val="等线"/>
        <family val="0"/>
        <charset val="1"/>
      </rPr>
      <t xml:space="preserve">j</t>
    </r>
  </si>
  <si>
    <t xml:space="preserve">可用机器数</t>
  </si>
  <si>
    <r>
      <rPr>
        <b val="true"/>
        <sz val="11"/>
        <color rgb="FFFFFFFF"/>
        <rFont val="等线"/>
        <family val="0"/>
        <charset val="1"/>
      </rPr>
      <t xml:space="preserve">Cap^nom (min/</t>
    </r>
    <r>
      <rPr>
        <b val="true"/>
        <sz val="11"/>
        <color rgb="FFFFFFFF"/>
        <rFont val="Noto Sans CJK SC"/>
        <family val="2"/>
      </rPr>
      <t xml:space="preserve">周期</t>
    </r>
    <r>
      <rPr>
        <b val="true"/>
        <sz val="11"/>
        <color rgb="FFFFFFFF"/>
        <rFont val="等线"/>
        <family val="0"/>
        <charset val="1"/>
      </rPr>
      <t xml:space="preserve">)</t>
    </r>
  </si>
  <si>
    <t xml:space="preserve">1</t>
  </si>
  <si>
    <t xml:space="preserve">2</t>
  </si>
  <si>
    <t xml:space="preserve">3</t>
  </si>
  <si>
    <r>
      <rPr>
        <i val="true"/>
        <sz val="10"/>
        <color rgb="FF808080"/>
        <rFont val="Noto Sans CJK SC"/>
        <family val="2"/>
      </rPr>
      <t xml:space="preserve">全部周期 </t>
    </r>
    <r>
      <rPr>
        <i val="true"/>
        <sz val="10"/>
        <color rgb="FF808080"/>
        <rFont val="等线"/>
        <family val="0"/>
        <charset val="1"/>
      </rPr>
      <t xml:space="preserve">A_{j,f,t}=1</t>
    </r>
    <r>
      <rPr>
        <i val="true"/>
        <sz val="10"/>
        <color rgb="FF808080"/>
        <rFont val="Noto Sans CJK SC"/>
        <family val="2"/>
      </rPr>
      <t xml:space="preserve">（机器均可用）。瓶颈：阶段</t>
    </r>
    <r>
      <rPr>
        <i val="true"/>
        <sz val="10"/>
        <color rgb="FF808080"/>
        <rFont val="等线"/>
        <family val="0"/>
        <charset val="1"/>
      </rPr>
      <t xml:space="preserve">2</t>
    </r>
    <r>
      <rPr>
        <i val="true"/>
        <sz val="10"/>
        <color rgb="FF808080"/>
        <rFont val="Noto Sans CJK SC"/>
        <family val="2"/>
      </rPr>
      <t xml:space="preserve">仅</t>
    </r>
    <r>
      <rPr>
        <i val="true"/>
        <sz val="10"/>
        <color rgb="FF808080"/>
        <rFont val="等线"/>
        <family val="0"/>
        <charset val="1"/>
      </rPr>
      <t xml:space="preserve">480 min</t>
    </r>
    <r>
      <rPr>
        <i val="true"/>
        <sz val="10"/>
        <color rgb="FF808080"/>
        <rFont val="Noto Sans CJK SC"/>
        <family val="2"/>
      </rPr>
      <t xml:space="preserve">。</t>
    </r>
  </si>
  <si>
    <r>
      <rPr>
        <b val="true"/>
        <sz val="12"/>
        <rFont val="Noto Sans CJK SC"/>
        <family val="2"/>
      </rPr>
      <t xml:space="preserve">一、单位件加工时间 </t>
    </r>
    <r>
      <rPr>
        <b val="true"/>
        <sz val="12"/>
        <rFont val="等线"/>
        <family val="0"/>
        <charset val="1"/>
      </rPr>
      <t xml:space="preserve">pt^unit_{p,j}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等线"/>
        <family val="0"/>
        <charset val="1"/>
      </rPr>
      <t xml:space="preserve">s=1</t>
    </r>
    <r>
      <rPr>
        <b val="true"/>
        <sz val="12"/>
        <rFont val="Noto Sans CJK SC"/>
        <family val="2"/>
      </rPr>
      <t xml:space="preserve">基准，</t>
    </r>
    <r>
      <rPr>
        <b val="true"/>
        <sz val="12"/>
        <rFont val="等线"/>
        <family val="0"/>
        <charset val="1"/>
      </rPr>
      <t xml:space="preserve">min/</t>
    </r>
    <r>
      <rPr>
        <b val="true"/>
        <sz val="12"/>
        <rFont val="Noto Sans CJK SC"/>
        <family val="2"/>
      </rPr>
      <t xml:space="preserve">件；机器同质，示例数据）</t>
    </r>
  </si>
  <si>
    <r>
      <rPr>
        <i val="true"/>
        <sz val="10"/>
        <color rgb="FF808080"/>
        <rFont val="Noto Sans CJK SC"/>
        <family val="2"/>
      </rPr>
      <t xml:space="preserve">档位</t>
    </r>
    <r>
      <rPr>
        <i val="true"/>
        <sz val="10"/>
        <color rgb="FF808080"/>
        <rFont val="等线"/>
        <family val="0"/>
        <charset val="1"/>
      </rPr>
      <t xml:space="preserve">s</t>
    </r>
    <r>
      <rPr>
        <i val="true"/>
        <sz val="10"/>
        <color rgb="FF808080"/>
        <rFont val="Noto Sans CJK SC"/>
        <family val="2"/>
      </rPr>
      <t xml:space="preserve">时 </t>
    </r>
    <r>
      <rPr>
        <i val="true"/>
        <sz val="10"/>
        <color rgb="FF808080"/>
        <rFont val="等线"/>
        <family val="0"/>
        <charset val="1"/>
      </rPr>
      <t xml:space="preserve">pt=</t>
    </r>
    <r>
      <rPr>
        <i val="true"/>
        <sz val="10"/>
        <color rgb="FF808080"/>
        <rFont val="Noto Sans CJK SC"/>
        <family val="2"/>
      </rPr>
      <t xml:space="preserve">基准</t>
    </r>
    <r>
      <rPr>
        <i val="true"/>
        <sz val="10"/>
        <color rgb="FF808080"/>
        <rFont val="等线"/>
        <family val="0"/>
        <charset val="1"/>
      </rPr>
      <t xml:space="preserve">×θ_s</t>
    </r>
    <r>
      <rPr>
        <i val="true"/>
        <sz val="10"/>
        <color rgb="FF808080"/>
        <rFont val="Noto Sans CJK SC"/>
        <family val="2"/>
      </rPr>
      <t xml:space="preserve">（</t>
    </r>
    <r>
      <rPr>
        <i val="true"/>
        <sz val="10"/>
        <color rgb="FF808080"/>
        <rFont val="等线"/>
        <family val="0"/>
        <charset val="1"/>
      </rPr>
      <t xml:space="preserve">1.00/0.90/0.80</t>
    </r>
    <r>
      <rPr>
        <i val="true"/>
        <sz val="10"/>
        <color rgb="FF808080"/>
        <rFont val="Noto Sans CJK SC"/>
        <family val="2"/>
      </rPr>
      <t xml:space="preserve">）；工件</t>
    </r>
    <r>
      <rPr>
        <i val="true"/>
        <sz val="10"/>
        <color rgb="FF808080"/>
        <rFont val="等线"/>
        <family val="0"/>
        <charset val="1"/>
      </rPr>
      <t xml:space="preserve">PT_{i,j,f,s}=β(i)×pt^unit</t>
    </r>
    <r>
      <rPr>
        <i val="true"/>
        <sz val="10"/>
        <color rgb="FF808080"/>
        <rFont val="Noto Sans CJK SC"/>
        <family val="2"/>
      </rPr>
      <t xml:space="preserve">（式</t>
    </r>
    <r>
      <rPr>
        <i val="true"/>
        <sz val="10"/>
        <color rgb="FF808080"/>
        <rFont val="等线"/>
        <family val="0"/>
        <charset val="1"/>
      </rPr>
      <t xml:space="preserve">4.8.1</t>
    </r>
    <r>
      <rPr>
        <i val="true"/>
        <sz val="10"/>
        <color rgb="FF808080"/>
        <rFont val="Noto Sans CJK SC"/>
        <family val="2"/>
      </rPr>
      <t xml:space="preserve">节映射）。</t>
    </r>
  </si>
  <si>
    <r>
      <rPr>
        <b val="true"/>
        <sz val="12"/>
        <rFont val="Noto Sans CJK SC"/>
        <family val="2"/>
      </rPr>
      <t xml:space="preserve">二、</t>
    </r>
    <r>
      <rPr>
        <b val="true"/>
        <sz val="12"/>
        <rFont val="等线"/>
        <family val="0"/>
        <charset val="1"/>
      </rPr>
      <t xml:space="preserve">SDST</t>
    </r>
    <r>
      <rPr>
        <b val="true"/>
        <sz val="12"/>
        <rFont val="Noto Sans CJK SC"/>
        <family val="2"/>
      </rPr>
      <t xml:space="preserve">矩阵 </t>
    </r>
    <r>
      <rPr>
        <b val="true"/>
        <sz val="12"/>
        <rFont val="等线"/>
        <family val="0"/>
        <charset val="1"/>
      </rPr>
      <t xml:space="preserve">S_{i,i',j,f}</t>
    </r>
    <r>
      <rPr>
        <b val="true"/>
        <sz val="12"/>
        <rFont val="Noto Sans CJK SC"/>
        <family val="2"/>
      </rPr>
      <t xml:space="preserve">（产品族级，全阶段全机器同，</t>
    </r>
    <r>
      <rPr>
        <b val="true"/>
        <sz val="12"/>
        <rFont val="等线"/>
        <family val="0"/>
        <charset val="1"/>
      </rPr>
      <t xml:space="preserve">min</t>
    </r>
    <r>
      <rPr>
        <b val="true"/>
        <sz val="12"/>
        <rFont val="Noto Sans CJK SC"/>
        <family val="2"/>
      </rPr>
      <t xml:space="preserve">；同族</t>
    </r>
    <r>
      <rPr>
        <b val="true"/>
        <sz val="12"/>
        <rFont val="等线"/>
        <family val="0"/>
        <charset val="1"/>
      </rPr>
      <t xml:space="preserve">=0</t>
    </r>
    <r>
      <rPr>
        <b val="true"/>
        <sz val="12"/>
        <rFont val="Noto Sans CJK SC"/>
        <family val="2"/>
      </rPr>
      <t xml:space="preserve">；示例数据）</t>
    </r>
  </si>
  <si>
    <t xml:space="preserve">前→后</t>
  </si>
  <si>
    <t xml:space="preserve">→A</t>
  </si>
  <si>
    <t xml:space="preserve">→B</t>
  </si>
  <si>
    <t xml:space="preserve">→C</t>
  </si>
  <si>
    <r>
      <rPr>
        <sz val="11"/>
        <rFont val="等线"/>
        <family val="0"/>
        <charset val="1"/>
      </rPr>
      <t xml:space="preserve">0(</t>
    </r>
    <r>
      <rPr>
        <sz val="11"/>
        <rFont val="Noto Sans CJK SC"/>
        <family val="2"/>
      </rPr>
      <t xml:space="preserve">初始</t>
    </r>
    <r>
      <rPr>
        <sz val="11"/>
        <rFont val="等线"/>
        <family val="0"/>
        <charset val="1"/>
      </rPr>
      <t xml:space="preserve">)</t>
    </r>
  </si>
  <si>
    <t xml:space="preserve">A→</t>
  </si>
  <si>
    <t xml:space="preserve">B→</t>
  </si>
  <si>
    <t xml:space="preserve">C→</t>
  </si>
  <si>
    <r>
      <rPr>
        <i val="true"/>
        <sz val="10"/>
        <color rgb="FF808080"/>
        <rFont val="Noto Sans CJK SC"/>
        <family val="2"/>
      </rPr>
      <t xml:space="preserve">机关：</t>
    </r>
    <r>
      <rPr>
        <i val="true"/>
        <sz val="10"/>
        <color rgb="FF808080"/>
        <rFont val="等线"/>
        <family val="0"/>
        <charset val="1"/>
      </rPr>
      <t xml:space="preserve">B↔C=280</t>
    </r>
    <r>
      <rPr>
        <i val="true"/>
        <sz val="10"/>
        <color rgb="FF808080"/>
        <rFont val="Noto Sans CJK SC"/>
        <family val="2"/>
      </rPr>
      <t xml:space="preserve">为深度换模（拆装模具</t>
    </r>
    <r>
      <rPr>
        <i val="true"/>
        <sz val="10"/>
        <color rgb="FF808080"/>
        <rFont val="等线"/>
        <family val="0"/>
        <charset val="1"/>
      </rPr>
      <t xml:space="preserve">+</t>
    </r>
    <r>
      <rPr>
        <i val="true"/>
        <sz val="10"/>
        <color rgb="FF808080"/>
        <rFont val="Noto Sans CJK SC"/>
        <family val="2"/>
      </rPr>
      <t xml:space="preserve">清洗，示例设定）。</t>
    </r>
    <r>
      <rPr>
        <i val="true"/>
        <sz val="10"/>
        <color rgb="FF808080"/>
        <rFont val="等线"/>
        <family val="0"/>
        <charset val="1"/>
      </rPr>
      <t xml:space="preserve">τ=1</t>
    </r>
    <r>
      <rPr>
        <i val="true"/>
        <sz val="10"/>
        <color rgb="FF808080"/>
        <rFont val="Noto Sans CJK SC"/>
        <family val="2"/>
      </rPr>
      <t xml:space="preserve">有</t>
    </r>
    <r>
      <rPr>
        <i val="true"/>
        <sz val="10"/>
        <color rgb="FF808080"/>
        <rFont val="等线"/>
        <family val="0"/>
        <charset val="1"/>
      </rPr>
      <t xml:space="preserve">A</t>
    </r>
    <r>
      <rPr>
        <i val="true"/>
        <sz val="10"/>
        <color rgb="FF808080"/>
        <rFont val="Noto Sans CJK SC"/>
        <family val="2"/>
      </rPr>
      <t xml:space="preserve">作缓冲产品可回避（最优序设置合计</t>
    </r>
    <r>
      <rPr>
        <i val="true"/>
        <sz val="10"/>
        <color rgb="FF808080"/>
        <rFont val="等线"/>
        <family val="0"/>
        <charset val="1"/>
      </rPr>
      <t xml:space="preserve">=10+25+30=65</t>
    </r>
    <r>
      <rPr>
        <i val="true"/>
        <sz val="10"/>
        <color rgb="FF808080"/>
        <rFont val="Noto Sans CJK SC"/>
        <family val="2"/>
      </rPr>
      <t xml:space="preserve">）；</t>
    </r>
    <r>
      <rPr>
        <i val="true"/>
        <sz val="10"/>
        <color rgb="FF808080"/>
        <rFont val="等线"/>
        <family val="0"/>
        <charset val="1"/>
      </rPr>
      <t xml:space="preserve">τ=3</t>
    </r>
    <r>
      <rPr>
        <i val="true"/>
        <sz val="10"/>
        <color rgb="FF808080"/>
        <rFont val="Noto Sans CJK SC"/>
        <family val="2"/>
      </rPr>
      <t xml:space="preserve">仅</t>
    </r>
    <r>
      <rPr>
        <i val="true"/>
        <sz val="10"/>
        <color rgb="FF808080"/>
        <rFont val="等线"/>
        <family val="0"/>
        <charset val="1"/>
      </rPr>
      <t xml:space="preserve">B</t>
    </r>
    <r>
      <rPr>
        <i val="true"/>
        <sz val="10"/>
        <color rgb="FF808080"/>
        <rFont val="Noto Sans CJK SC"/>
        <family val="2"/>
      </rPr>
      <t xml:space="preserve">、</t>
    </r>
    <r>
      <rPr>
        <i val="true"/>
        <sz val="10"/>
        <color rgb="FF808080"/>
        <rFont val="等线"/>
        <family val="0"/>
        <charset val="1"/>
      </rPr>
      <t xml:space="preserve">C</t>
    </r>
    <r>
      <rPr>
        <i val="true"/>
        <sz val="10"/>
        <color rgb="FF808080"/>
        <rFont val="Noto Sans CJK SC"/>
        <family val="2"/>
      </rPr>
      <t xml:space="preserve">同期 → 任意序至少一次</t>
    </r>
    <r>
      <rPr>
        <i val="true"/>
        <sz val="10"/>
        <color rgb="FF808080"/>
        <rFont val="等线"/>
        <family val="0"/>
        <charset val="1"/>
      </rPr>
      <t xml:space="preserve">280 min</t>
    </r>
    <r>
      <rPr>
        <i val="true"/>
        <sz val="10"/>
        <color rgb="FF808080"/>
        <rFont val="Noto Sans CJK SC"/>
        <family val="2"/>
      </rPr>
      <t xml:space="preserve">换模，构成结构性组合冲突。</t>
    </r>
  </si>
  <si>
    <t xml:space="preserve">三、能耗与功率（示例数据）</t>
  </si>
  <si>
    <t xml:space="preserve">说明</t>
  </si>
  <si>
    <r>
      <rPr>
        <sz val="11"/>
        <rFont val="Noto Sans CJK SC"/>
        <family val="2"/>
      </rPr>
      <t xml:space="preserve">加工功率 </t>
    </r>
    <r>
      <rPr>
        <sz val="11"/>
        <rFont val="等线"/>
        <family val="0"/>
        <charset val="1"/>
      </rPr>
      <t xml:space="preserve">pe_{j,f,s}</t>
    </r>
  </si>
  <si>
    <t xml:space="preserve">s=1:3; s=2:5; s=3:8 (kW)</t>
  </si>
  <si>
    <t xml:space="preserve">全机器同；档位越高功率越大</t>
  </si>
  <si>
    <r>
      <rPr>
        <sz val="11"/>
        <rFont val="Noto Sans CJK SC"/>
        <family val="2"/>
      </rPr>
      <t xml:space="preserve">准备功率 </t>
    </r>
    <r>
      <rPr>
        <sz val="11"/>
        <rFont val="等线"/>
        <family val="0"/>
        <charset val="1"/>
      </rPr>
      <t xml:space="preserve">se_{j,f}</t>
    </r>
  </si>
  <si>
    <t xml:space="preserve">kW</t>
  </si>
  <si>
    <r>
      <rPr>
        <sz val="11"/>
        <rFont val="Noto Sans CJK SC"/>
        <family val="2"/>
      </rPr>
      <t xml:space="preserve">空闲功率 </t>
    </r>
    <r>
      <rPr>
        <sz val="11"/>
        <rFont val="等线"/>
        <family val="0"/>
        <charset val="1"/>
      </rPr>
      <t xml:space="preserve">ie_{j,f}</t>
    </r>
  </si>
  <si>
    <r>
      <rPr>
        <sz val="11"/>
        <rFont val="Noto Sans CJK SC"/>
        <family val="2"/>
      </rPr>
      <t xml:space="preserve">单位运输能耗 </t>
    </r>
    <r>
      <rPr>
        <sz val="11"/>
        <rFont val="等线"/>
        <family val="0"/>
        <charset val="1"/>
      </rPr>
      <t xml:space="preserve">te</t>
    </r>
  </si>
  <si>
    <t xml:space="preserve">kW·min/min</t>
  </si>
  <si>
    <r>
      <rPr>
        <sz val="11"/>
        <rFont val="Noto Sans CJK SC"/>
        <family val="2"/>
      </rPr>
      <t xml:space="preserve">单位时间辅助能耗 </t>
    </r>
    <r>
      <rPr>
        <sz val="11"/>
        <rFont val="等线"/>
        <family val="0"/>
        <charset val="1"/>
      </rPr>
      <t xml:space="preserve">ae</t>
    </r>
  </si>
  <si>
    <t xml:space="preserve">四、工人技能与班次（示例数据）</t>
  </si>
  <si>
    <r>
      <rPr>
        <b val="true"/>
        <sz val="11"/>
        <color rgb="FFFFFFFF"/>
        <rFont val="Noto Sans CJK SC"/>
        <family val="2"/>
      </rPr>
      <t xml:space="preserve">技能等级</t>
    </r>
    <r>
      <rPr>
        <b val="true"/>
        <sz val="11"/>
        <color rgb="FFFFFFFF"/>
        <rFont val="等线"/>
        <family val="0"/>
        <charset val="1"/>
      </rPr>
      <t xml:space="preserve">α</t>
    </r>
  </si>
  <si>
    <r>
      <rPr>
        <b val="true"/>
        <sz val="11"/>
        <color rgb="FFFFFFFF"/>
        <rFont val="Noto Sans CJK SC"/>
        <family val="2"/>
      </rPr>
      <t xml:space="preserve">班次工资</t>
    </r>
    <r>
      <rPr>
        <b val="true"/>
        <sz val="11"/>
        <color rgb="FFFFFFFF"/>
        <rFont val="等线"/>
        <family val="0"/>
        <charset val="1"/>
      </rPr>
      <t xml:space="preserve">S_α(</t>
    </r>
    <r>
      <rPr>
        <b val="true"/>
        <sz val="11"/>
        <color rgb="FFFFFFFF"/>
        <rFont val="Noto Sans CJK SC"/>
        <family val="2"/>
      </rPr>
      <t xml:space="preserve">元</t>
    </r>
    <r>
      <rPr>
        <b val="true"/>
        <sz val="11"/>
        <color rgb="FFFFFFFF"/>
        <rFont val="等线"/>
        <family val="0"/>
        <charset val="1"/>
      </rPr>
      <t xml:space="preserve">)</t>
    </r>
  </si>
  <si>
    <t xml:space="preserve">Available(τ=1)</t>
  </si>
  <si>
    <t xml:space="preserve">Available(τ=2)</t>
  </si>
  <si>
    <t xml:space="preserve">Available(τ=3)</t>
  </si>
  <si>
    <t xml:space="preserve">Available(τ=4)</t>
  </si>
  <si>
    <r>
      <rPr>
        <i val="true"/>
        <sz val="10"/>
        <color rgb="FF808080"/>
        <rFont val="Noto Sans CJK SC"/>
        <family val="2"/>
      </rPr>
      <t xml:space="preserve">机关：</t>
    </r>
    <r>
      <rPr>
        <i val="true"/>
        <sz val="10"/>
        <color rgb="FF808080"/>
        <rFont val="等线"/>
        <family val="0"/>
        <charset val="1"/>
      </rPr>
      <t xml:space="preserve">τ=2</t>
    </r>
    <r>
      <rPr>
        <i val="true"/>
        <sz val="10"/>
        <color rgb="FF808080"/>
        <rFont val="Noto Sans CJK SC"/>
        <family val="2"/>
      </rPr>
      <t xml:space="preserve">时</t>
    </r>
    <r>
      <rPr>
        <i val="true"/>
        <sz val="10"/>
        <color rgb="FF808080"/>
        <rFont val="等线"/>
        <family val="0"/>
        <charset val="1"/>
      </rPr>
      <t xml:space="preserve">α=3</t>
    </r>
    <r>
      <rPr>
        <i val="true"/>
        <sz val="10"/>
        <color rgb="FF808080"/>
        <rFont val="Noto Sans CJK SC"/>
        <family val="2"/>
      </rPr>
      <t xml:space="preserve">工人缺勤 → 工人总数</t>
    </r>
    <r>
      <rPr>
        <i val="true"/>
        <sz val="10"/>
        <color rgb="FF808080"/>
        <rFont val="等线"/>
        <family val="0"/>
        <charset val="1"/>
      </rPr>
      <t xml:space="preserve">4&lt;</t>
    </r>
    <r>
      <rPr>
        <i val="true"/>
        <sz val="10"/>
        <color rgb="FF808080"/>
        <rFont val="Noto Sans CJK SC"/>
        <family val="2"/>
      </rPr>
      <t xml:space="preserve">机器数</t>
    </r>
    <r>
      <rPr>
        <i val="true"/>
        <sz val="10"/>
        <color rgb="FF808080"/>
        <rFont val="等线"/>
        <family val="0"/>
        <charset val="1"/>
      </rPr>
      <t xml:space="preserve">5 → η_{j,2}^skill=4/5=0.8</t>
    </r>
    <r>
      <rPr>
        <i val="true"/>
        <sz val="10"/>
        <color rgb="FF808080"/>
        <rFont val="Noto Sans CJK SC"/>
        <family val="2"/>
      </rPr>
      <t xml:space="preserve">按式</t>
    </r>
    <r>
      <rPr>
        <i val="true"/>
        <sz val="10"/>
        <color rgb="FF808080"/>
        <rFont val="等线"/>
        <family val="0"/>
        <charset val="1"/>
      </rPr>
      <t xml:space="preserve">(5-5)</t>
    </r>
    <r>
      <rPr>
        <i val="true"/>
        <sz val="10"/>
        <color rgb="FF808080"/>
        <rFont val="Noto Sans CJK SC"/>
        <family val="2"/>
      </rPr>
      <t xml:space="preserve">前的定义式进入</t>
    </r>
    <r>
      <rPr>
        <i val="true"/>
        <sz val="10"/>
        <color rgb="FF808080"/>
        <rFont val="等线"/>
        <family val="0"/>
        <charset val="1"/>
      </rPr>
      <t xml:space="preserve">Cap^eff</t>
    </r>
    <r>
      <rPr>
        <i val="true"/>
        <sz val="10"/>
        <color rgb="FF808080"/>
        <rFont val="Noto Sans CJK SC"/>
        <family val="2"/>
      </rPr>
      <t xml:space="preserve">更新；且全车间无人可开</t>
    </r>
    <r>
      <rPr>
        <i val="true"/>
        <sz val="10"/>
        <color rgb="FF808080"/>
        <rFont val="等线"/>
        <family val="0"/>
        <charset val="1"/>
      </rPr>
      <t xml:space="preserve">s=3</t>
    </r>
    <r>
      <rPr>
        <i val="true"/>
        <sz val="10"/>
        <color rgb="FF808080"/>
        <rFont val="Noto Sans CJK SC"/>
        <family val="2"/>
      </rPr>
      <t xml:space="preserve">档。</t>
    </r>
  </si>
  <si>
    <r>
      <rPr>
        <b val="true"/>
        <sz val="12"/>
        <rFont val="Noto Sans CJK SC"/>
        <family val="2"/>
      </rPr>
      <t xml:space="preserve">订单集合（到达周期</t>
    </r>
    <r>
      <rPr>
        <b val="true"/>
        <sz val="12"/>
        <rFont val="等线"/>
        <family val="0"/>
        <charset val="1"/>
      </rPr>
      <t xml:space="preserve">=</t>
    </r>
    <r>
      <rPr>
        <b val="true"/>
        <sz val="12"/>
        <rFont val="Noto Sans CJK SC"/>
        <family val="2"/>
      </rPr>
      <t xml:space="preserve">该订单进入 </t>
    </r>
    <r>
      <rPr>
        <b val="true"/>
        <sz val="12"/>
        <rFont val="等线"/>
        <family val="0"/>
        <charset val="1"/>
      </rPr>
      <t xml:space="preserve">O_τ^new </t>
    </r>
    <r>
      <rPr>
        <b val="true"/>
        <sz val="12"/>
        <rFont val="Noto Sans CJK SC"/>
        <family val="2"/>
      </rPr>
      <t xml:space="preserve">的滚动周期；示例数据）</t>
    </r>
  </si>
  <si>
    <r>
      <rPr>
        <b val="true"/>
        <sz val="11"/>
        <color rgb="FFFFFFFF"/>
        <rFont val="Noto Sans CJK SC"/>
        <family val="2"/>
      </rPr>
      <t xml:space="preserve">订单</t>
    </r>
    <r>
      <rPr>
        <b val="true"/>
        <sz val="11"/>
        <color rgb="FFFFFFFF"/>
        <rFont val="等线"/>
        <family val="0"/>
        <charset val="1"/>
      </rPr>
      <t xml:space="preserve">o</t>
    </r>
  </si>
  <si>
    <r>
      <rPr>
        <b val="true"/>
        <sz val="11"/>
        <color rgb="FFFFFFFF"/>
        <rFont val="Noto Sans CJK SC"/>
        <family val="2"/>
      </rPr>
      <t xml:space="preserve">产品</t>
    </r>
    <r>
      <rPr>
        <b val="true"/>
        <sz val="11"/>
        <color rgb="FFFFFFFF"/>
        <rFont val="等线"/>
        <family val="0"/>
        <charset val="1"/>
      </rPr>
      <t xml:space="preserve">p(o)</t>
    </r>
  </si>
  <si>
    <r>
      <rPr>
        <b val="true"/>
        <sz val="11"/>
        <color rgb="FFFFFFFF"/>
        <rFont val="Noto Sans CJK SC"/>
        <family val="2"/>
      </rPr>
      <t xml:space="preserve">数量</t>
    </r>
    <r>
      <rPr>
        <b val="true"/>
        <sz val="11"/>
        <color rgb="FFFFFFFF"/>
        <rFont val="等线"/>
        <family val="0"/>
        <charset val="1"/>
      </rPr>
      <t xml:space="preserve">Q_o</t>
    </r>
  </si>
  <si>
    <r>
      <rPr>
        <b val="true"/>
        <sz val="11"/>
        <color rgb="FFFFFFFF"/>
        <rFont val="Noto Sans CJK SC"/>
        <family val="2"/>
      </rPr>
      <t xml:space="preserve">交付周期</t>
    </r>
    <r>
      <rPr>
        <b val="true"/>
        <sz val="11"/>
        <color rgb="FFFFFFFF"/>
        <rFont val="等线"/>
        <family val="0"/>
        <charset val="1"/>
      </rPr>
      <t xml:space="preserve">d(o)</t>
    </r>
  </si>
  <si>
    <t xml:space="preserve">到达周期</t>
  </si>
  <si>
    <t xml:space="preserve">设计意图</t>
  </si>
  <si>
    <t xml:space="preserve">o1</t>
  </si>
  <si>
    <r>
      <rPr>
        <sz val="11"/>
        <rFont val="等线"/>
        <family val="0"/>
        <charset val="1"/>
      </rPr>
      <t xml:space="preserve">τ=1 </t>
    </r>
    <r>
      <rPr>
        <sz val="11"/>
        <rFont val="Noto Sans CJK SC"/>
        <family val="2"/>
      </rPr>
      <t xml:space="preserve">满负荷主力</t>
    </r>
  </si>
  <si>
    <t xml:space="preserve">o2</t>
  </si>
  <si>
    <r>
      <rPr>
        <sz val="11"/>
        <rFont val="等线"/>
        <family val="0"/>
        <charset val="1"/>
      </rPr>
      <t xml:space="preserve">τ=1 </t>
    </r>
    <r>
      <rPr>
        <sz val="11"/>
        <rFont val="Noto Sans CJK SC"/>
        <family val="2"/>
      </rPr>
      <t xml:space="preserve">满负荷</t>
    </r>
  </si>
  <si>
    <t xml:space="preserve">o3</t>
  </si>
  <si>
    <r>
      <rPr>
        <sz val="11"/>
        <rFont val="等线"/>
        <family val="0"/>
        <charset val="1"/>
      </rPr>
      <t xml:space="preserve">τ=1 </t>
    </r>
    <r>
      <rPr>
        <sz val="11"/>
        <rFont val="Noto Sans CJK SC"/>
        <family val="2"/>
      </rPr>
      <t xml:space="preserve">满负荷（三族齐 → 触发</t>
    </r>
    <r>
      <rPr>
        <sz val="11"/>
        <rFont val="等线"/>
        <family val="0"/>
        <charset val="1"/>
      </rPr>
      <t xml:space="preserve">SDST</t>
    </r>
    <r>
      <rPr>
        <sz val="11"/>
        <rFont val="Noto Sans CJK SC"/>
        <family val="2"/>
      </rPr>
      <t xml:space="preserve">加班）</t>
    </r>
  </si>
  <si>
    <t xml:space="preserve">o4</t>
  </si>
  <si>
    <t xml:space="preserve">窗口内参考周期需求</t>
  </si>
  <si>
    <t xml:space="preserve">o5</t>
  </si>
  <si>
    <t xml:space="preserve">o6</t>
  </si>
  <si>
    <r>
      <rPr>
        <sz val="11"/>
        <rFont val="等线"/>
        <family val="0"/>
        <charset val="1"/>
      </rPr>
      <t xml:space="preserve">τ=3 </t>
    </r>
    <r>
      <rPr>
        <sz val="11"/>
        <rFont val="Noto Sans CJK SC"/>
        <family val="2"/>
      </rPr>
      <t xml:space="preserve">与</t>
    </r>
    <r>
      <rPr>
        <sz val="11"/>
        <rFont val="等线"/>
        <family val="0"/>
        <charset val="1"/>
      </rPr>
      <t xml:space="preserve">o9</t>
    </r>
    <r>
      <rPr>
        <sz val="11"/>
        <rFont val="Noto Sans CJK SC"/>
        <family val="2"/>
      </rPr>
      <t xml:space="preserve">构成</t>
    </r>
    <r>
      <rPr>
        <sz val="11"/>
        <rFont val="等线"/>
        <family val="0"/>
        <charset val="1"/>
      </rPr>
      <t xml:space="preserve">{B,C}</t>
    </r>
    <r>
      <rPr>
        <sz val="11"/>
        <rFont val="Noto Sans CJK SC"/>
        <family val="2"/>
      </rPr>
      <t xml:space="preserve">冲突</t>
    </r>
  </si>
  <si>
    <t xml:space="preserve">o7</t>
  </si>
  <si>
    <r>
      <rPr>
        <sz val="11"/>
        <rFont val="Noto Sans CJK SC"/>
        <family val="2"/>
      </rPr>
      <t xml:space="preserve">动态到达，验证 </t>
    </r>
    <r>
      <rPr>
        <sz val="11"/>
        <rFont val="等线"/>
        <family val="0"/>
        <charset val="1"/>
      </rPr>
      <t xml:space="preserve">O_τ^new </t>
    </r>
    <r>
      <rPr>
        <sz val="11"/>
        <rFont val="Noto Sans CJK SC"/>
        <family val="2"/>
      </rPr>
      <t xml:space="preserve">合并</t>
    </r>
  </si>
  <si>
    <t xml:space="preserve">o8</t>
  </si>
  <si>
    <t xml:space="preserve">远期订单，验证窗口滚动</t>
  </si>
  <si>
    <t xml:space="preserve">o9</t>
  </si>
  <si>
    <r>
      <rPr>
        <sz val="11"/>
        <rFont val="Noto Sans CJK SC"/>
        <family val="2"/>
      </rPr>
      <t xml:space="preserve">动态到达，与</t>
    </r>
    <r>
      <rPr>
        <sz val="11"/>
        <rFont val="等线"/>
        <family val="0"/>
        <charset val="1"/>
      </rPr>
      <t xml:space="preserve">o6</t>
    </r>
    <r>
      <rPr>
        <sz val="11"/>
        <rFont val="Noto Sans CJK SC"/>
        <family val="2"/>
      </rPr>
      <t xml:space="preserve">同期 → 触发通道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割</t>
    </r>
  </si>
  <si>
    <r>
      <rPr>
        <i val="true"/>
        <sz val="10"/>
        <color rgb="FF808080"/>
        <rFont val="Noto Sans CJK SC"/>
        <family val="2"/>
      </rPr>
      <t xml:space="preserve">由式</t>
    </r>
    <r>
      <rPr>
        <i val="true"/>
        <sz val="10"/>
        <color rgb="FF808080"/>
        <rFont val="等线"/>
        <family val="0"/>
        <charset val="1"/>
      </rPr>
      <t xml:space="preserve">(3-3)</t>
    </r>
    <r>
      <rPr>
        <i val="true"/>
        <sz val="10"/>
        <color rgb="FF808080"/>
        <rFont val="Noto Sans CJK SC"/>
        <family val="2"/>
      </rPr>
      <t xml:space="preserve">聚合为</t>
    </r>
    <r>
      <rPr>
        <i val="true"/>
        <sz val="10"/>
        <color rgb="FF808080"/>
        <rFont val="等线"/>
        <family val="0"/>
        <charset val="1"/>
      </rPr>
      <t xml:space="preserve">D_{p,t}^{(τ)}</t>
    </r>
    <r>
      <rPr>
        <i val="true"/>
        <sz val="10"/>
        <color rgb="FF808080"/>
        <rFont val="Noto Sans CJK SC"/>
        <family val="2"/>
      </rPr>
      <t xml:space="preserve">。</t>
    </r>
    <r>
      <rPr>
        <i val="true"/>
        <sz val="10"/>
        <color rgb="FF808080"/>
        <rFont val="等线"/>
        <family val="0"/>
        <charset val="1"/>
      </rPr>
      <t xml:space="preserve">τ=1</t>
    </r>
    <r>
      <rPr>
        <i val="true"/>
        <sz val="10"/>
        <color rgb="FF808080"/>
        <rFont val="Noto Sans CJK SC"/>
        <family val="2"/>
      </rPr>
      <t xml:space="preserve">需求</t>
    </r>
    <r>
      <rPr>
        <i val="true"/>
        <sz val="10"/>
        <color rgb="FF808080"/>
        <rFont val="等线"/>
        <family val="0"/>
        <charset val="1"/>
      </rPr>
      <t xml:space="preserve">(t=1): A12/B8/C5 → </t>
    </r>
    <r>
      <rPr>
        <i val="true"/>
        <sz val="10"/>
        <color rgb="FF808080"/>
        <rFont val="Noto Sans CJK SC"/>
        <family val="2"/>
      </rPr>
      <t xml:space="preserve">阶段</t>
    </r>
    <r>
      <rPr>
        <i val="true"/>
        <sz val="10"/>
        <color rgb="FF808080"/>
        <rFont val="等线"/>
        <family val="0"/>
        <charset val="1"/>
      </rPr>
      <t xml:space="preserve">2</t>
    </r>
    <r>
      <rPr>
        <i val="true"/>
        <sz val="10"/>
        <color rgb="FF808080"/>
        <rFont val="Noto Sans CJK SC"/>
        <family val="2"/>
      </rPr>
      <t xml:space="preserve">负荷</t>
    </r>
    <r>
      <rPr>
        <i val="true"/>
        <sz val="10"/>
        <color rgb="FF808080"/>
        <rFont val="等线"/>
        <family val="0"/>
        <charset val="1"/>
      </rPr>
      <t xml:space="preserve">=12×15+8×20+5×25=465 ≤ 480</t>
    </r>
    <r>
      <rPr>
        <i val="true"/>
        <sz val="10"/>
        <color rgb="FF808080"/>
        <rFont val="Noto Sans CJK SC"/>
        <family val="2"/>
      </rPr>
      <t xml:space="preserve">（聚合可行，调度不可行——闭环存在意义的最小演示）。</t>
    </r>
  </si>
  <si>
    <r>
      <rPr>
        <b val="true"/>
        <sz val="12"/>
        <rFont val="Noto Sans CJK SC"/>
        <family val="2"/>
      </rPr>
      <t xml:space="preserve">主线</t>
    </r>
    <r>
      <rPr>
        <b val="true"/>
        <sz val="12"/>
        <rFont val="等线"/>
        <family val="0"/>
        <charset val="1"/>
      </rPr>
      <t xml:space="preserve">V1</t>
    </r>
    <r>
      <rPr>
        <b val="true"/>
        <sz val="12"/>
        <rFont val="Noto Sans CJK SC"/>
        <family val="2"/>
      </rPr>
      <t xml:space="preserve">逐周期预期轨迹（</t>
    </r>
    <r>
      <rPr>
        <b val="true"/>
        <sz val="12"/>
        <rFont val="等线"/>
        <family val="0"/>
        <charset val="1"/>
      </rPr>
      <t xml:space="preserve">C_max</t>
    </r>
    <r>
      <rPr>
        <b val="true"/>
        <sz val="12"/>
        <rFont val="Noto Sans CJK SC"/>
        <family val="2"/>
      </rPr>
      <t xml:space="preserve">为量级估计带，取决于代表解；分支行为为硬性预期）</t>
    </r>
  </si>
  <si>
    <r>
      <rPr>
        <b val="true"/>
        <sz val="11"/>
        <color rgb="FFFFFFFF"/>
        <rFont val="Noto Sans CJK SC"/>
        <family val="2"/>
      </rPr>
      <t xml:space="preserve">滚动周期</t>
    </r>
    <r>
      <rPr>
        <b val="true"/>
        <sz val="11"/>
        <color rgb="FFFFFFFF"/>
        <rFont val="等线"/>
        <family val="0"/>
        <charset val="1"/>
      </rPr>
      <t xml:space="preserve">τ</t>
    </r>
  </si>
  <si>
    <r>
      <rPr>
        <b val="true"/>
        <sz val="11"/>
        <color rgb="FFFFFFFF"/>
        <rFont val="Noto Sans CJK SC"/>
        <family val="2"/>
      </rPr>
      <t xml:space="preserve">迭代</t>
    </r>
    <r>
      <rPr>
        <b val="true"/>
        <sz val="11"/>
        <color rgb="FFFFFFFF"/>
        <rFont val="等线"/>
        <family val="0"/>
        <charset val="1"/>
      </rPr>
      <t xml:space="preserve">k</t>
    </r>
  </si>
  <si>
    <r>
      <rPr>
        <b val="true"/>
        <sz val="11"/>
        <color rgb="FFFFFFFF"/>
        <rFont val="Noto Sans CJK SC"/>
        <family val="2"/>
      </rPr>
      <t xml:space="preserve">计划层输出</t>
    </r>
    <r>
      <rPr>
        <b val="true"/>
        <sz val="11"/>
        <color rgb="FFFFFFFF"/>
        <rFont val="等线"/>
        <family val="0"/>
        <charset val="1"/>
      </rPr>
      <t xml:space="preserve">(t=τ)</t>
    </r>
  </si>
  <si>
    <t xml:space="preserve">调度层预期</t>
  </si>
  <si>
    <t xml:space="preserve">反馈动作</t>
  </si>
  <si>
    <t xml:space="preserve">验证的分支</t>
  </si>
  <si>
    <t xml:space="preserve">k=0</t>
  </si>
  <si>
    <r>
      <rPr>
        <sz val="11"/>
        <rFont val="等线"/>
        <family val="0"/>
        <charset val="1"/>
      </rPr>
      <t xml:space="preserve">q=(A12,B8,C5)</t>
    </r>
    <r>
      <rPr>
        <sz val="11"/>
        <rFont val="Noto Sans CJK SC"/>
        <family val="2"/>
      </rPr>
      <t xml:space="preserve">；阶段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负荷</t>
    </r>
    <r>
      <rPr>
        <sz val="11"/>
        <rFont val="等线"/>
        <family val="0"/>
        <charset val="1"/>
      </rPr>
      <t xml:space="preserve">465≤Cap^nom=480</t>
    </r>
  </si>
  <si>
    <r>
      <rPr>
        <sz val="11"/>
        <rFont val="Noto Sans CJK SC"/>
        <family val="2"/>
      </rPr>
      <t xml:space="preserve">三族齐；最优序用</t>
    </r>
    <r>
      <rPr>
        <sz val="11"/>
        <rFont val="等线"/>
        <family val="0"/>
        <charset val="1"/>
      </rPr>
      <t xml:space="preserve">A</t>
    </r>
    <r>
      <rPr>
        <sz val="11"/>
        <rFont val="Noto Sans CJK SC"/>
        <family val="2"/>
      </rPr>
      <t xml:space="preserve">作缓冲</t>
    </r>
    <r>
      <rPr>
        <sz val="11"/>
        <rFont val="等线"/>
        <family val="0"/>
        <charset val="1"/>
      </rPr>
      <t xml:space="preserve">(</t>
    </r>
    <r>
      <rPr>
        <sz val="11"/>
        <rFont val="Noto Sans CJK SC"/>
        <family val="2"/>
      </rPr>
      <t xml:space="preserve">如</t>
    </r>
    <r>
      <rPr>
        <sz val="11"/>
        <rFont val="等线"/>
        <family val="0"/>
        <charset val="1"/>
      </rPr>
      <t xml:space="preserve">B,B,A,A,A,C)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Θ_2=65</t>
    </r>
    <r>
      <rPr>
        <sz val="11"/>
        <rFont val="Noto Sans CJK SC"/>
        <family val="2"/>
      </rPr>
      <t xml:space="preserve">；预计</t>
    </r>
    <r>
      <rPr>
        <sz val="11"/>
        <rFont val="等线"/>
        <family val="0"/>
        <charset val="1"/>
      </rPr>
      <t xml:space="preserve">C_max≈530~560&gt;480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OT≈50~80≤OT^max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ρ≈0.33~0.58&lt;0.8 → Feas=0</t>
    </r>
    <r>
      <rPr>
        <sz val="11"/>
        <rFont val="Noto Sans CJK SC"/>
        <family val="2"/>
      </rPr>
      <t xml:space="preserve">（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次重启均不可接受）</t>
    </r>
  </si>
  <si>
    <r>
      <rPr>
        <sz val="11"/>
        <rFont val="Noto Sans CJK SC"/>
        <family val="2"/>
      </rPr>
      <t xml:space="preserve">通道</t>
    </r>
    <r>
      <rPr>
        <sz val="11"/>
        <rFont val="等线"/>
        <family val="0"/>
        <charset val="1"/>
      </rPr>
      <t xml:space="preserve">1</t>
    </r>
    <r>
      <rPr>
        <sz val="11"/>
        <rFont val="Noto Sans CJK SC"/>
        <family val="2"/>
      </rPr>
      <t xml:space="preserve">：</t>
    </r>
    <r>
      <rPr>
        <sz val="11"/>
        <rFont val="等线"/>
        <family val="0"/>
        <charset val="1"/>
      </rPr>
      <t xml:space="preserve">Δc^(1)</t>
    </r>
    <r>
      <rPr>
        <sz val="11"/>
        <rFont val="Noto Sans CJK SC"/>
        <family val="2"/>
      </rPr>
      <t xml:space="preserve">仅含</t>
    </r>
    <r>
      <rPr>
        <sz val="11"/>
        <rFont val="等线"/>
        <family val="0"/>
        <charset val="1"/>
      </rPr>
      <t xml:space="preserve">κ_C·OT+κ_S·Θ</t>
    </r>
    <r>
      <rPr>
        <sz val="11"/>
        <rFont val="Noto Sans CJK SC"/>
        <family val="2"/>
      </rPr>
      <t xml:space="preserve">项（</t>
    </r>
    <r>
      <rPr>
        <sz val="11"/>
        <rFont val="等线"/>
        <family val="0"/>
        <charset val="1"/>
      </rPr>
      <t xml:space="preserve">k=0</t>
    </r>
    <r>
      <rPr>
        <sz val="11"/>
        <rFont val="Noto Sans CJK SC"/>
        <family val="2"/>
      </rPr>
      <t xml:space="preserve">为增量基线，</t>
    </r>
    <r>
      <rPr>
        <sz val="11"/>
        <rFont val="等线"/>
        <family val="0"/>
        <charset val="1"/>
      </rPr>
      <t xml:space="preserve">κ_L/κ_E</t>
    </r>
    <r>
      <rPr>
        <sz val="11"/>
        <rFont val="Noto Sans CJK SC"/>
        <family val="2"/>
      </rPr>
      <t xml:space="preserve">项</t>
    </r>
    <r>
      <rPr>
        <sz val="11"/>
        <rFont val="等线"/>
        <family val="0"/>
        <charset val="1"/>
      </rPr>
      <t xml:space="preserve">=0</t>
    </r>
    <r>
      <rPr>
        <sz val="11"/>
        <rFont val="Noto Sans CJK SC"/>
        <family val="2"/>
      </rPr>
      <t xml:space="preserve">），经</t>
    </r>
    <r>
      <rPr>
        <sz val="11"/>
        <rFont val="等线"/>
        <family val="0"/>
        <charset val="1"/>
      </rPr>
      <t xml:space="preserve">γ=0.5</t>
    </r>
    <r>
      <rPr>
        <sz val="11"/>
        <rFont val="Noto Sans CJK SC"/>
        <family val="2"/>
      </rPr>
      <t xml:space="preserve">阻尼与</t>
    </r>
    <r>
      <rPr>
        <sz val="11"/>
        <rFont val="等线"/>
        <family val="0"/>
        <charset val="1"/>
      </rPr>
      <t xml:space="preserve">δ^max·c_p</t>
    </r>
    <r>
      <rPr>
        <sz val="11"/>
        <rFont val="Noto Sans CJK SC"/>
        <family val="2"/>
      </rPr>
      <t xml:space="preserve">封顶；通道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：</t>
    </r>
    <r>
      <rPr>
        <sz val="11"/>
        <rFont val="等线"/>
        <family val="0"/>
        <charset val="1"/>
      </rPr>
      <t xml:space="preserve">Cap_2^eff,(1)=max{0,480×1−65}=415</t>
    </r>
    <r>
      <rPr>
        <sz val="11"/>
        <rFont val="Noto Sans CJK SC"/>
        <family val="2"/>
      </rPr>
      <t xml:space="preserve">（</t>
    </r>
    <r>
      <rPr>
        <sz val="11"/>
        <rFont val="等线"/>
        <family val="0"/>
        <charset val="1"/>
      </rPr>
      <t xml:space="preserve">η=1</t>
    </r>
    <r>
      <rPr>
        <sz val="11"/>
        <rFont val="Noto Sans CJK SC"/>
        <family val="2"/>
      </rPr>
      <t xml:space="preserve">，工人</t>
    </r>
    <r>
      <rPr>
        <sz val="11"/>
        <rFont val="等线"/>
        <family val="0"/>
        <charset val="1"/>
      </rPr>
      <t xml:space="preserve">5=</t>
    </r>
    <r>
      <rPr>
        <sz val="11"/>
        <rFont val="Noto Sans CJK SC"/>
        <family val="2"/>
      </rPr>
      <t xml:space="preserve">机器</t>
    </r>
    <r>
      <rPr>
        <sz val="11"/>
        <rFont val="等线"/>
        <family val="0"/>
        <charset val="1"/>
      </rPr>
      <t xml:space="preserve">5</t>
    </r>
    <r>
      <rPr>
        <sz val="11"/>
        <rFont val="Noto Sans CJK SC"/>
        <family val="2"/>
      </rPr>
      <t xml:space="preserve">）；通道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：按</t>
    </r>
    <r>
      <rPr>
        <sz val="11"/>
        <rFont val="等线"/>
        <family val="0"/>
        <charset val="1"/>
      </rPr>
      <t xml:space="preserve">P1</t>
    </r>
    <r>
      <rPr>
        <sz val="11"/>
        <rFont val="Noto Sans CJK SC"/>
        <family val="2"/>
      </rPr>
      <t xml:space="preserve">建议规则，</t>
    </r>
    <r>
      <rPr>
        <sz val="11"/>
        <rFont val="等线"/>
        <family val="0"/>
        <charset val="1"/>
      </rPr>
      <t xml:space="preserve">OT≤OT^max → </t>
    </r>
    <r>
      <rPr>
        <sz val="11"/>
        <rFont val="Noto Sans CJK SC"/>
        <family val="2"/>
      </rPr>
      <t xml:space="preserve">判加班型，不生成割</t>
    </r>
  </si>
  <si>
    <r>
      <rPr>
        <sz val="11"/>
        <rFont val="Noto Sans CJK SC"/>
        <family val="2"/>
      </rPr>
      <t xml:space="preserve">成本反馈增量口径与阻尼；有效产能</t>
    </r>
    <r>
      <rPr>
        <sz val="11"/>
        <rFont val="等线"/>
        <family val="0"/>
        <charset val="1"/>
      </rPr>
      <t xml:space="preserve">Θ</t>
    </r>
    <r>
      <rPr>
        <sz val="11"/>
        <rFont val="Noto Sans CJK SC"/>
        <family val="2"/>
      </rPr>
      <t xml:space="preserve">扣减；割的负荷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加班型排除</t>
    </r>
  </si>
  <si>
    <t xml:space="preserve">k=1</t>
  </si>
  <si>
    <r>
      <rPr>
        <sz val="11"/>
        <rFont val="Noto Sans CJK SC"/>
        <family val="2"/>
      </rPr>
      <t xml:space="preserve">阶段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负荷须≤</t>
    </r>
    <r>
      <rPr>
        <sz val="11"/>
        <rFont val="等线"/>
        <family val="0"/>
        <charset val="1"/>
      </rPr>
      <t xml:space="preserve">415 → </t>
    </r>
    <r>
      <rPr>
        <sz val="11"/>
        <rFont val="Noto Sans CJK SC"/>
        <family val="2"/>
      </rPr>
      <t xml:space="preserve">预计移出</t>
    </r>
    <r>
      <rPr>
        <sz val="11"/>
        <rFont val="等线"/>
        <family val="0"/>
        <charset val="1"/>
      </rPr>
      <t xml:space="preserve">B</t>
    </r>
    <r>
      <rPr>
        <sz val="11"/>
        <rFont val="Noto Sans CJK SC"/>
        <family val="2"/>
      </rPr>
      <t xml:space="preserve">约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件</t>
    </r>
    <r>
      <rPr>
        <sz val="11"/>
        <rFont val="等线"/>
        <family val="0"/>
        <charset val="1"/>
      </rPr>
      <t xml:space="preserve">(60min,</t>
    </r>
    <r>
      <rPr>
        <sz val="11"/>
        <rFont val="Noto Sans CJK SC"/>
        <family val="2"/>
      </rPr>
      <t xml:space="preserve">延期惩罚</t>
    </r>
    <r>
      <rPr>
        <sz val="11"/>
        <rFont val="等线"/>
        <family val="0"/>
        <charset val="1"/>
      </rPr>
      <t xml:space="preserve">24</t>
    </r>
    <r>
      <rPr>
        <sz val="11"/>
        <rFont val="Noto Sans CJK SC"/>
        <family val="2"/>
      </rPr>
      <t xml:space="preserve">元</t>
    </r>
    <r>
      <rPr>
        <sz val="11"/>
        <rFont val="等线"/>
        <family val="0"/>
        <charset val="1"/>
      </rPr>
      <t xml:space="preserve">)</t>
    </r>
    <r>
      <rPr>
        <sz val="11"/>
        <rFont val="Noto Sans CJK SC"/>
        <family val="2"/>
      </rPr>
      <t xml:space="preserve">或</t>
    </r>
    <r>
      <rPr>
        <sz val="11"/>
        <rFont val="等线"/>
        <family val="0"/>
        <charset val="1"/>
      </rPr>
      <t xml:space="preserve">C</t>
    </r>
    <r>
      <rPr>
        <sz val="11"/>
        <rFont val="Noto Sans CJK SC"/>
        <family val="2"/>
      </rPr>
      <t xml:space="preserve">约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件</t>
    </r>
    <r>
      <rPr>
        <sz val="11"/>
        <rFont val="等线"/>
        <family val="0"/>
        <charset val="1"/>
      </rPr>
      <t xml:space="preserve">(50min,</t>
    </r>
    <r>
      <rPr>
        <sz val="11"/>
        <rFont val="Noto Sans CJK SC"/>
        <family val="2"/>
      </rPr>
      <t xml:space="preserve">惩罚</t>
    </r>
    <r>
      <rPr>
        <sz val="11"/>
        <rFont val="等线"/>
        <family val="0"/>
        <charset val="1"/>
      </rPr>
      <t xml:space="preserve">24</t>
    </r>
    <r>
      <rPr>
        <sz val="11"/>
        <rFont val="Noto Sans CJK SC"/>
        <family val="2"/>
      </rPr>
      <t xml:space="preserve">元</t>
    </r>
    <r>
      <rPr>
        <sz val="11"/>
        <rFont val="等线"/>
        <family val="0"/>
        <charset val="1"/>
      </rPr>
      <t xml:space="preserve">)</t>
    </r>
    <r>
      <rPr>
        <sz val="11"/>
        <rFont val="Noto Sans CJK SC"/>
        <family val="2"/>
      </rPr>
      <t xml:space="preserve">至</t>
    </r>
    <r>
      <rPr>
        <sz val="11"/>
        <rFont val="等线"/>
        <family val="0"/>
        <charset val="1"/>
      </rPr>
      <t xml:space="preserve">t=2</t>
    </r>
    <r>
      <rPr>
        <sz val="11"/>
        <rFont val="Noto Sans CJK SC"/>
        <family val="2"/>
      </rPr>
      <t xml:space="preserve">，二者接近，以求解器为准；设移</t>
    </r>
    <r>
      <rPr>
        <sz val="11"/>
        <rFont val="等线"/>
        <family val="0"/>
        <charset val="1"/>
      </rPr>
      <t xml:space="preserve">B → q=(12,5,5)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Back_B,1=3</t>
    </r>
  </si>
  <si>
    <r>
      <rPr>
        <sz val="11"/>
        <rFont val="Noto Sans CJK SC"/>
        <family val="2"/>
      </rPr>
      <t xml:space="preserve">负荷</t>
    </r>
    <r>
      <rPr>
        <sz val="11"/>
        <rFont val="等线"/>
        <family val="0"/>
        <charset val="1"/>
      </rPr>
      <t xml:space="preserve">405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Θ_2=65</t>
    </r>
    <r>
      <rPr>
        <sz val="11"/>
        <rFont val="Noto Sans CJK SC"/>
        <family val="2"/>
      </rPr>
      <t xml:space="preserve">；调度将</t>
    </r>
    <r>
      <rPr>
        <sz val="11"/>
        <rFont val="等线"/>
        <family val="0"/>
        <charset val="1"/>
      </rPr>
      <t xml:space="preserve">C</t>
    </r>
    <r>
      <rPr>
        <sz val="11"/>
        <rFont val="Noto Sans CJK SC"/>
        <family val="2"/>
      </rPr>
      <t xml:space="preserve">排前段压尾部</t>
    </r>
    <r>
      <rPr>
        <sz val="11"/>
        <rFont val="等线"/>
        <family val="0"/>
        <charset val="1"/>
      </rPr>
      <t xml:space="preserve">(</t>
    </r>
    <r>
      <rPr>
        <sz val="11"/>
        <rFont val="Noto Sans CJK SC"/>
        <family val="2"/>
      </rPr>
      <t xml:space="preserve">如</t>
    </r>
    <r>
      <rPr>
        <sz val="11"/>
        <rFont val="等线"/>
        <family val="0"/>
        <charset val="1"/>
      </rPr>
      <t xml:space="preserve">C,A,A,A,B,B) → </t>
    </r>
    <r>
      <rPr>
        <sz val="11"/>
        <rFont val="Noto Sans CJK SC"/>
        <family val="2"/>
      </rPr>
      <t xml:space="preserve">预计</t>
    </r>
    <r>
      <rPr>
        <sz val="11"/>
        <rFont val="等线"/>
        <family val="0"/>
        <charset val="1"/>
      </rPr>
      <t xml:space="preserve">C_max≈440~480≤480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Feas=1</t>
    </r>
  </si>
  <si>
    <r>
      <rPr>
        <sz val="11"/>
        <rFont val="Noto Sans CJK SC"/>
        <family val="2"/>
      </rPr>
      <t xml:space="preserve">四条件核查：</t>
    </r>
    <r>
      <rPr>
        <sz val="11"/>
        <rFont val="等线"/>
        <family val="0"/>
        <charset val="1"/>
      </rPr>
      <t xml:space="preserve">Feas=1 ✓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C_max≤480 ✓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Δℋ=∅ ✓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|ΔZ|/(1+|Z|)≤ε_P</t>
    </r>
    <r>
      <rPr>
        <sz val="11"/>
        <rFont val="Noto Sans CJK SC"/>
        <family val="2"/>
      </rPr>
      <t xml:space="preserve">或视改善幅度可能再迭代一轮 → 冻结，</t>
    </r>
    <r>
      <rPr>
        <sz val="11"/>
        <rFont val="等线"/>
        <family val="0"/>
        <charset val="1"/>
      </rPr>
      <t xml:space="preserve">S_1*←π_1*</t>
    </r>
  </si>
  <si>
    <r>
      <rPr>
        <sz val="11"/>
        <rFont val="Noto Sans CJK SC"/>
        <family val="2"/>
      </rPr>
      <t xml:space="preserve">多轮反馈后正常冻结；式</t>
    </r>
    <r>
      <rPr>
        <sz val="11"/>
        <rFont val="等线"/>
        <family val="0"/>
        <charset val="1"/>
      </rPr>
      <t xml:space="preserve">(3-24)~(3-26)</t>
    </r>
    <r>
      <rPr>
        <sz val="11"/>
        <rFont val="Noto Sans CJK SC"/>
        <family val="2"/>
      </rPr>
      <t xml:space="preserve">子批下发</t>
    </r>
  </si>
  <si>
    <r>
      <rPr>
        <sz val="11"/>
        <rFont val="Noto Sans CJK SC"/>
        <family val="2"/>
      </rPr>
      <t xml:space="preserve">需求</t>
    </r>
    <r>
      <rPr>
        <sz val="11"/>
        <rFont val="等线"/>
        <family val="0"/>
        <charset val="1"/>
      </rPr>
      <t xml:space="preserve">(A6,B6,C4)+</t>
    </r>
    <r>
      <rPr>
        <sz val="11"/>
        <rFont val="Noto Sans CJK SC"/>
        <family val="2"/>
      </rPr>
      <t xml:space="preserve">清偿</t>
    </r>
    <r>
      <rPr>
        <sz val="11"/>
        <rFont val="等线"/>
        <family val="0"/>
        <charset val="1"/>
      </rPr>
      <t xml:space="preserve">Back_B=3 → q≈(6,9,4)</t>
    </r>
    <r>
      <rPr>
        <sz val="11"/>
        <rFont val="Noto Sans CJK SC"/>
        <family val="2"/>
      </rPr>
      <t xml:space="preserve">，阶段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负荷≈</t>
    </r>
    <r>
      <rPr>
        <sz val="11"/>
        <rFont val="等线"/>
        <family val="0"/>
        <charset val="1"/>
      </rPr>
      <t xml:space="preserve">370</t>
    </r>
  </si>
  <si>
    <r>
      <rPr>
        <sz val="11"/>
        <rFont val="等线"/>
        <family val="0"/>
        <charset val="1"/>
      </rPr>
      <t xml:space="preserve">α=3</t>
    </r>
    <r>
      <rPr>
        <sz val="11"/>
        <rFont val="Noto Sans CJK SC"/>
        <family val="2"/>
      </rPr>
      <t xml:space="preserve">缺勤 → 全车间最高档</t>
    </r>
    <r>
      <rPr>
        <sz val="11"/>
        <rFont val="等线"/>
        <family val="0"/>
        <charset val="1"/>
      </rPr>
      <t xml:space="preserve">s=2(θ=0.9)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Θ_2=65</t>
    </r>
    <r>
      <rPr>
        <sz val="11"/>
        <rFont val="Noto Sans CJK SC"/>
        <family val="2"/>
      </rPr>
      <t xml:space="preserve">；预计</t>
    </r>
    <r>
      <rPr>
        <sz val="11"/>
        <rFont val="等线"/>
        <family val="0"/>
        <charset val="1"/>
      </rPr>
      <t xml:space="preserve">C_max≈440~480</t>
    </r>
    <r>
      <rPr>
        <sz val="11"/>
        <rFont val="Noto Sans CJK SC"/>
        <family val="2"/>
      </rPr>
      <t xml:space="preserve">，大概率</t>
    </r>
    <r>
      <rPr>
        <sz val="11"/>
        <rFont val="等线"/>
        <family val="0"/>
        <charset val="1"/>
      </rPr>
      <t xml:space="preserve">Feas=1</t>
    </r>
    <r>
      <rPr>
        <sz val="11"/>
        <rFont val="Noto Sans CJK SC"/>
        <family val="2"/>
      </rPr>
      <t xml:space="preserve">直接冻结（若略超</t>
    </r>
    <r>
      <rPr>
        <sz val="11"/>
        <rFont val="等线"/>
        <family val="0"/>
        <charset val="1"/>
      </rPr>
      <t xml:space="preserve">480</t>
    </r>
    <r>
      <rPr>
        <sz val="11"/>
        <rFont val="Noto Sans CJK SC"/>
        <family val="2"/>
      </rPr>
      <t xml:space="preserve">则再走一轮产能反馈，亦属正常）</t>
    </r>
  </si>
  <si>
    <r>
      <rPr>
        <sz val="11"/>
        <rFont val="Noto Sans CJK SC"/>
        <family val="2"/>
      </rPr>
      <t xml:space="preserve">断言重点：无论是否冻结，第</t>
    </r>
    <r>
      <rPr>
        <sz val="11"/>
        <rFont val="等线"/>
        <family val="0"/>
        <charset val="1"/>
      </rPr>
      <t xml:space="preserve">19</t>
    </r>
    <r>
      <rPr>
        <sz val="11"/>
        <rFont val="Noto Sans CJK SC"/>
        <family val="2"/>
      </rPr>
      <t xml:space="preserve">行反馈计算必须给出 </t>
    </r>
    <r>
      <rPr>
        <sz val="11"/>
        <rFont val="等线"/>
        <family val="0"/>
        <charset val="1"/>
      </rPr>
      <t xml:space="preserve">η=4/5=0.8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Cap_2^eff,(1)=max{0,480×0.8−Θ_2}≈319</t>
    </r>
  </si>
  <si>
    <r>
      <rPr>
        <sz val="11"/>
        <rFont val="等线"/>
        <family val="0"/>
        <charset val="1"/>
      </rPr>
      <t xml:space="preserve">η^skill</t>
    </r>
    <r>
      <rPr>
        <sz val="11"/>
        <rFont val="Noto Sans CJK SC"/>
        <family val="2"/>
      </rPr>
      <t xml:space="preserve">折减通道；</t>
    </r>
    <r>
      <rPr>
        <sz val="11"/>
        <rFont val="等线"/>
        <family val="0"/>
        <charset val="1"/>
      </rPr>
      <t xml:space="preserve">k=0</t>
    </r>
    <r>
      <rPr>
        <sz val="11"/>
        <rFont val="Noto Sans CJK SC"/>
        <family val="2"/>
      </rPr>
      <t xml:space="preserve">冻结走</t>
    </r>
    <r>
      <rPr>
        <sz val="11"/>
        <rFont val="等线"/>
        <family val="0"/>
        <charset val="1"/>
      </rPr>
      <t xml:space="preserve">"k=0</t>
    </r>
    <r>
      <rPr>
        <sz val="11"/>
        <rFont val="Noto Sans CJK SC"/>
        <family val="2"/>
      </rPr>
      <t xml:space="preserve">或稳定性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分支；</t>
    </r>
    <r>
      <rPr>
        <sz val="11"/>
        <rFont val="等线"/>
        <family val="0"/>
        <charset val="1"/>
      </rPr>
      <t xml:space="preserve">Back</t>
    </r>
    <r>
      <rPr>
        <sz val="11"/>
        <rFont val="Noto Sans CJK SC"/>
        <family val="2"/>
      </rPr>
      <t xml:space="preserve">跨周期清偿</t>
    </r>
  </si>
  <si>
    <r>
      <rPr>
        <sz val="11"/>
        <rFont val="Noto Sans CJK SC"/>
        <family val="2"/>
      </rPr>
      <t xml:space="preserve">需求</t>
    </r>
    <r>
      <rPr>
        <sz val="11"/>
        <rFont val="等线"/>
        <family val="0"/>
        <charset val="1"/>
      </rPr>
      <t xml:space="preserve">(B14</t>
    </r>
    <r>
      <rPr>
        <sz val="11"/>
        <rFont val="Noto Sans CJK SC"/>
        <family val="2"/>
      </rPr>
      <t xml:space="preserve">由</t>
    </r>
    <r>
      <rPr>
        <sz val="11"/>
        <rFont val="等线"/>
        <family val="0"/>
        <charset val="1"/>
      </rPr>
      <t xml:space="preserve">o9, C6</t>
    </r>
    <r>
      <rPr>
        <sz val="11"/>
        <rFont val="Noto Sans CJK SC"/>
        <family val="2"/>
      </rPr>
      <t xml:space="preserve">由</t>
    </r>
    <r>
      <rPr>
        <sz val="11"/>
        <rFont val="等线"/>
        <family val="0"/>
        <charset val="1"/>
      </rPr>
      <t xml:space="preserve">o6)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A</t>
    </r>
    <r>
      <rPr>
        <sz val="11"/>
        <rFont val="Noto Sans CJK SC"/>
        <family val="2"/>
      </rPr>
      <t xml:space="preserve">无当期需求 → </t>
    </r>
    <r>
      <rPr>
        <sz val="11"/>
        <rFont val="等线"/>
        <family val="0"/>
        <charset val="1"/>
      </rPr>
      <t xml:space="preserve">P_3^active={B,C}</t>
    </r>
    <r>
      <rPr>
        <sz val="11"/>
        <rFont val="Noto Sans CJK SC"/>
        <family val="2"/>
      </rPr>
      <t xml:space="preserve">；阶段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负荷</t>
    </r>
    <r>
      <rPr>
        <sz val="11"/>
        <rFont val="等线"/>
        <family val="0"/>
        <charset val="1"/>
      </rPr>
      <t xml:space="preserve">=280+150=430≤480</t>
    </r>
  </si>
  <si>
    <r>
      <rPr>
        <sz val="11"/>
        <rFont val="Noto Sans CJK SC"/>
        <family val="2"/>
      </rPr>
      <t xml:space="preserve">仅</t>
    </r>
    <r>
      <rPr>
        <sz val="11"/>
        <rFont val="等线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C</t>
    </r>
    <r>
      <rPr>
        <sz val="11"/>
        <rFont val="Noto Sans CJK SC"/>
        <family val="2"/>
      </rPr>
      <t xml:space="preserve">同期 → 任意排序至少</t>
    </r>
    <r>
      <rPr>
        <sz val="11"/>
        <rFont val="等线"/>
        <family val="0"/>
        <charset val="1"/>
      </rPr>
      <t xml:space="preserve">1</t>
    </r>
    <r>
      <rPr>
        <sz val="11"/>
        <rFont val="Noto Sans CJK SC"/>
        <family val="2"/>
      </rPr>
      <t xml:space="preserve">次</t>
    </r>
    <r>
      <rPr>
        <sz val="11"/>
        <rFont val="等线"/>
        <family val="0"/>
        <charset val="1"/>
      </rPr>
      <t xml:space="preserve">280min</t>
    </r>
    <r>
      <rPr>
        <sz val="11"/>
        <rFont val="Noto Sans CJK SC"/>
        <family val="2"/>
      </rPr>
      <t xml:space="preserve">深度换模；下界</t>
    </r>
    <r>
      <rPr>
        <sz val="11"/>
        <rFont val="等线"/>
        <family val="0"/>
        <charset val="1"/>
      </rPr>
      <t xml:space="preserve">C_max≥430×0.8+290=634 → OT≥154&gt;OT^max=120 → ρ=0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Feas=0</t>
    </r>
    <r>
      <rPr>
        <sz val="11"/>
        <rFont val="Noto Sans CJK SC"/>
        <family val="2"/>
      </rPr>
      <t xml:space="preserve">（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次重启必然）</t>
    </r>
  </si>
  <si>
    <r>
      <rPr>
        <sz val="11"/>
        <rFont val="Noto Sans CJK SC"/>
        <family val="2"/>
      </rPr>
      <t xml:space="preserve">三步判据：①重启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次仍</t>
    </r>
    <r>
      <rPr>
        <sz val="11"/>
        <rFont val="等线"/>
        <family val="0"/>
        <charset val="1"/>
      </rPr>
      <t xml:space="preserve">Feas=0 ✓</t>
    </r>
    <r>
      <rPr>
        <sz val="11"/>
        <rFont val="Noto Sans CJK SC"/>
        <family val="2"/>
      </rPr>
      <t xml:space="preserve">；②负荷排除：</t>
    </r>
    <r>
      <rPr>
        <sz val="11"/>
        <rFont val="等线"/>
        <family val="0"/>
        <charset val="1"/>
      </rPr>
      <t xml:space="preserve">430≤Cap^eff,(0)=480</t>
    </r>
    <r>
      <rPr>
        <sz val="11"/>
        <rFont val="Noto Sans CJK SC"/>
        <family val="2"/>
      </rPr>
      <t xml:space="preserve">不排除，且</t>
    </r>
    <r>
      <rPr>
        <sz val="11"/>
        <rFont val="等线"/>
        <family val="0"/>
        <charset val="1"/>
      </rPr>
      <t xml:space="preserve">OT&gt;OT^max</t>
    </r>
    <r>
      <rPr>
        <sz val="11"/>
        <rFont val="Noto Sans CJK SC"/>
        <family val="2"/>
      </rPr>
      <t xml:space="preserve">（</t>
    </r>
    <r>
      <rPr>
        <sz val="11"/>
        <rFont val="等线"/>
        <family val="0"/>
        <charset val="1"/>
      </rPr>
      <t xml:space="preserve">P1</t>
    </r>
    <r>
      <rPr>
        <sz val="11"/>
        <rFont val="Noto Sans CJK SC"/>
        <family val="2"/>
      </rPr>
      <t xml:space="preserve">规则）→ 进入③；③单产品移除：移</t>
    </r>
    <r>
      <rPr>
        <sz val="11"/>
        <rFont val="等线"/>
        <family val="0"/>
        <charset val="1"/>
      </rPr>
      <t xml:space="preserve">B→</t>
    </r>
    <r>
      <rPr>
        <sz val="11"/>
        <rFont val="Noto Sans CJK SC"/>
        <family val="2"/>
      </rPr>
      <t xml:space="preserve">仅</t>
    </r>
    <r>
      <rPr>
        <sz val="11"/>
        <rFont val="等线"/>
        <family val="0"/>
        <charset val="1"/>
      </rPr>
      <t xml:space="preserve">C</t>
    </r>
    <r>
      <rPr>
        <sz val="11"/>
        <rFont val="Noto Sans CJK SC"/>
        <family val="2"/>
      </rPr>
      <t xml:space="preserve">可行，移</t>
    </r>
    <r>
      <rPr>
        <sz val="11"/>
        <rFont val="等线"/>
        <family val="0"/>
        <charset val="1"/>
      </rPr>
      <t xml:space="preserve">C→</t>
    </r>
    <r>
      <rPr>
        <sz val="11"/>
        <rFont val="Noto Sans CJK SC"/>
        <family val="2"/>
      </rPr>
      <t xml:space="preserve">仅</t>
    </r>
    <r>
      <rPr>
        <sz val="11"/>
        <rFont val="等线"/>
        <family val="0"/>
        <charset val="1"/>
      </rPr>
      <t xml:space="preserve">B</t>
    </r>
    <r>
      <rPr>
        <sz val="11"/>
        <rFont val="Noto Sans CJK SC"/>
        <family val="2"/>
      </rPr>
      <t xml:space="preserve">可行 → </t>
    </r>
    <r>
      <rPr>
        <sz val="11"/>
        <rFont val="等线"/>
        <family val="0"/>
        <charset val="1"/>
      </rPr>
      <t xml:space="preserve">S={B,C}≠∅ → </t>
    </r>
    <r>
      <rPr>
        <sz val="11"/>
        <rFont val="Noto Sans CJK SC"/>
        <family val="2"/>
      </rPr>
      <t xml:space="preserve">割</t>
    </r>
    <r>
      <rPr>
        <sz val="11"/>
        <rFont val="等线"/>
        <family val="0"/>
        <charset val="1"/>
      </rPr>
      <t xml:space="preserve">C={B,C}</t>
    </r>
    <r>
      <rPr>
        <sz val="11"/>
        <rFont val="Noto Sans CJK SC"/>
        <family val="2"/>
      </rPr>
      <t xml:space="preserve">记入</t>
    </r>
    <r>
      <rPr>
        <sz val="11"/>
        <rFont val="等线"/>
        <family val="0"/>
        <charset val="1"/>
      </rPr>
      <t xml:space="preserve">Δℋ_3^inf,(0)</t>
    </r>
  </si>
  <si>
    <r>
      <rPr>
        <sz val="11"/>
        <rFont val="Noto Sans CJK SC"/>
        <family val="2"/>
      </rPr>
      <t xml:space="preserve">通道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三步判据全路径；式</t>
    </r>
    <r>
      <rPr>
        <sz val="11"/>
        <rFont val="等线"/>
        <family val="0"/>
        <charset val="1"/>
      </rPr>
      <t xml:space="preserve">(5-6)</t>
    </r>
    <r>
      <rPr>
        <sz val="11"/>
        <rFont val="Noto Sans CJK SC"/>
        <family val="2"/>
      </rPr>
      <t xml:space="preserve">割生成</t>
    </r>
  </si>
  <si>
    <r>
      <rPr>
        <sz val="11"/>
        <rFont val="Noto Sans CJK SC"/>
        <family val="2"/>
      </rPr>
      <t xml:space="preserve">割约束</t>
    </r>
    <r>
      <rPr>
        <sz val="11"/>
        <rFont val="等线"/>
        <family val="0"/>
        <charset val="1"/>
      </rPr>
      <t xml:space="preserve">Y_B+Y_C≤1</t>
    </r>
    <r>
      <rPr>
        <sz val="11"/>
        <rFont val="Noto Sans CJK SC"/>
        <family val="2"/>
      </rPr>
      <t xml:space="preserve">生效 → 比较移</t>
    </r>
    <r>
      <rPr>
        <sz val="11"/>
        <rFont val="等线"/>
        <family val="0"/>
        <charset val="1"/>
      </rPr>
      <t xml:space="preserve">B(Back</t>
    </r>
    <r>
      <rPr>
        <sz val="11"/>
        <rFont val="Noto Sans CJK SC"/>
        <family val="2"/>
      </rPr>
      <t xml:space="preserve">惩罚</t>
    </r>
    <r>
      <rPr>
        <sz val="11"/>
        <rFont val="等线"/>
        <family val="0"/>
        <charset val="1"/>
      </rPr>
      <t xml:space="preserve">14×8=112)</t>
    </r>
    <r>
      <rPr>
        <sz val="11"/>
        <rFont val="Noto Sans CJK SC"/>
        <family val="2"/>
      </rPr>
      <t xml:space="preserve">与移</t>
    </r>
    <r>
      <rPr>
        <sz val="11"/>
        <rFont val="等线"/>
        <family val="0"/>
        <charset val="1"/>
      </rPr>
      <t xml:space="preserve">C(6×12=72) → </t>
    </r>
    <r>
      <rPr>
        <sz val="11"/>
        <rFont val="Noto Sans CJK SC"/>
        <family val="2"/>
      </rPr>
      <t xml:space="preserve">预计保</t>
    </r>
    <r>
      <rPr>
        <sz val="11"/>
        <rFont val="等线"/>
        <family val="0"/>
        <charset val="1"/>
      </rPr>
      <t xml:space="preserve">B</t>
    </r>
    <r>
      <rPr>
        <sz val="11"/>
        <rFont val="Noto Sans CJK SC"/>
        <family val="2"/>
      </rPr>
      <t xml:space="preserve">移</t>
    </r>
    <r>
      <rPr>
        <sz val="11"/>
        <rFont val="等线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等线"/>
        <family val="0"/>
        <charset val="1"/>
      </rPr>
      <t xml:space="preserve">q=(0,14,0)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Back_C,3=6</t>
    </r>
  </si>
  <si>
    <r>
      <rPr>
        <sz val="11"/>
        <rFont val="Noto Sans CJK SC"/>
        <family val="2"/>
      </rPr>
      <t xml:space="preserve">仅</t>
    </r>
    <r>
      <rPr>
        <sz val="11"/>
        <rFont val="等线"/>
        <family val="0"/>
        <charset val="1"/>
      </rPr>
      <t xml:space="preserve">B</t>
    </r>
    <r>
      <rPr>
        <sz val="11"/>
        <rFont val="Noto Sans CJK SC"/>
        <family val="2"/>
      </rPr>
      <t xml:space="preserve">单族：</t>
    </r>
    <r>
      <rPr>
        <sz val="11"/>
        <rFont val="等线"/>
        <family val="0"/>
        <charset val="1"/>
      </rPr>
      <t xml:space="preserve">Θ_2=10</t>
    </r>
    <r>
      <rPr>
        <sz val="11"/>
        <rFont val="Noto Sans CJK SC"/>
        <family val="2"/>
      </rPr>
      <t xml:space="preserve">（仅初始设置），</t>
    </r>
    <r>
      <rPr>
        <sz val="11"/>
        <rFont val="等线"/>
        <family val="0"/>
        <charset val="1"/>
      </rPr>
      <t xml:space="preserve">C_max≈250~290≪480 → Feas=1</t>
    </r>
  </si>
  <si>
    <r>
      <rPr>
        <sz val="11"/>
        <rFont val="Noto Sans CJK SC"/>
        <family val="2"/>
      </rPr>
      <t xml:space="preserve">冻结；断言：冻结后ℋ</t>
    </r>
    <r>
      <rPr>
        <sz val="11"/>
        <rFont val="等线"/>
        <family val="0"/>
        <charset val="1"/>
      </rPr>
      <t xml:space="preserve">_3^inf</t>
    </r>
    <r>
      <rPr>
        <sz val="11"/>
        <rFont val="Noto Sans CJK SC"/>
        <family val="2"/>
      </rPr>
      <t xml:space="preserve">清空（第</t>
    </r>
    <r>
      <rPr>
        <sz val="11"/>
        <rFont val="等线"/>
        <family val="0"/>
        <charset val="1"/>
      </rPr>
      <t xml:space="preserve">40</t>
    </r>
    <r>
      <rPr>
        <sz val="11"/>
        <rFont val="Noto Sans CJK SC"/>
        <family val="2"/>
      </rPr>
      <t xml:space="preserve">行），ℋ</t>
    </r>
    <r>
      <rPr>
        <sz val="11"/>
        <rFont val="等线"/>
        <family val="0"/>
        <charset val="1"/>
      </rPr>
      <t xml:space="preserve">_4^inf,(0)=∅</t>
    </r>
  </si>
  <si>
    <r>
      <rPr>
        <sz val="11"/>
        <rFont val="Noto Sans CJK SC"/>
        <family val="2"/>
      </rPr>
      <t xml:space="preserve">割修正可行域；周期内累积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冻结后清零</t>
    </r>
  </si>
  <si>
    <t xml:space="preserve">4</t>
  </si>
  <si>
    <r>
      <rPr>
        <sz val="11"/>
        <rFont val="Noto Sans CJK SC"/>
        <family val="2"/>
      </rPr>
      <t xml:space="preserve">需求</t>
    </r>
    <r>
      <rPr>
        <sz val="11"/>
        <rFont val="等线"/>
        <family val="0"/>
        <charset val="1"/>
      </rPr>
      <t xml:space="preserve">A8(o8)+</t>
    </r>
    <r>
      <rPr>
        <sz val="11"/>
        <rFont val="Noto Sans CJK SC"/>
        <family val="2"/>
      </rPr>
      <t xml:space="preserve">清偿</t>
    </r>
    <r>
      <rPr>
        <sz val="11"/>
        <rFont val="等线"/>
        <family val="0"/>
        <charset val="1"/>
      </rPr>
      <t xml:space="preserve">Back_C=6 → q=(8,0,6)</t>
    </r>
    <r>
      <rPr>
        <sz val="11"/>
        <rFont val="Noto Sans CJK SC"/>
        <family val="2"/>
      </rPr>
      <t xml:space="preserve">，阶段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负荷</t>
    </r>
    <r>
      <rPr>
        <sz val="11"/>
        <rFont val="等线"/>
        <family val="0"/>
        <charset val="1"/>
      </rPr>
      <t xml:space="preserve">=120+150=270</t>
    </r>
  </si>
  <si>
    <r>
      <rPr>
        <sz val="11"/>
        <rFont val="Noto Sans CJK SC"/>
        <family val="2"/>
      </rPr>
      <t xml:space="preserve">两族一次换模</t>
    </r>
    <r>
      <rPr>
        <sz val="11"/>
        <rFont val="等线"/>
        <family val="0"/>
        <charset val="1"/>
      </rPr>
      <t xml:space="preserve">(A↔C=30)</t>
    </r>
    <r>
      <rPr>
        <sz val="11"/>
        <rFont val="Noto Sans CJK SC"/>
        <family val="2"/>
      </rPr>
      <t xml:space="preserve">，</t>
    </r>
    <r>
      <rPr>
        <sz val="11"/>
        <rFont val="等线"/>
        <family val="0"/>
        <charset val="1"/>
      </rPr>
      <t xml:space="preserve">C_max≈300~350 → Feas=1</t>
    </r>
  </si>
  <si>
    <r>
      <rPr>
        <sz val="11"/>
        <rFont val="Noto Sans CJK SC"/>
        <family val="2"/>
      </rPr>
      <t xml:space="preserve">冻结；</t>
    </r>
    <r>
      <rPr>
        <sz val="11"/>
        <rFont val="等线"/>
        <family val="0"/>
        <charset val="1"/>
      </rPr>
      <t xml:space="preserve">τ&gt;T_max → </t>
    </r>
    <r>
      <rPr>
        <sz val="11"/>
        <rFont val="Noto Sans CJK SC"/>
        <family val="2"/>
      </rPr>
      <t xml:space="preserve">外层循环终止</t>
    </r>
  </si>
  <si>
    <r>
      <rPr>
        <sz val="11"/>
        <rFont val="Noto Sans CJK SC"/>
        <family val="2"/>
      </rPr>
      <t xml:space="preserve">终末周期；期末断言：全部</t>
    </r>
    <r>
      <rPr>
        <sz val="11"/>
        <rFont val="等线"/>
        <family val="0"/>
        <charset val="1"/>
      </rPr>
      <t xml:space="preserve">Back=0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O^unfin=∅</t>
    </r>
    <r>
      <rPr>
        <sz val="11"/>
        <rFont val="Noto Sans CJK SC"/>
        <family val="2"/>
      </rPr>
      <t xml:space="preserve">、订单</t>
    </r>
    <r>
      <rPr>
        <sz val="11"/>
        <rFont val="等线"/>
        <family val="0"/>
        <charset val="1"/>
      </rPr>
      <t xml:space="preserve">o1~o9</t>
    </r>
    <r>
      <rPr>
        <sz val="11"/>
        <rFont val="Noto Sans CJK SC"/>
        <family val="2"/>
      </rPr>
      <t xml:space="preserve">全清</t>
    </r>
  </si>
  <si>
    <r>
      <rPr>
        <b val="true"/>
        <sz val="12"/>
        <rFont val="Noto Sans CJK SC"/>
        <family val="2"/>
      </rPr>
      <t xml:space="preserve">代码验证断言清单（全部通过 </t>
    </r>
    <r>
      <rPr>
        <b val="true"/>
        <sz val="12"/>
        <rFont val="等线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闭环实现与论文第</t>
    </r>
    <r>
      <rPr>
        <b val="true"/>
        <sz val="12"/>
        <rFont val="等线"/>
        <family val="0"/>
        <charset val="1"/>
      </rPr>
      <t xml:space="preserve">3~5</t>
    </r>
    <r>
      <rPr>
        <b val="true"/>
        <sz val="12"/>
        <rFont val="Noto Sans CJK SC"/>
        <family val="2"/>
      </rPr>
      <t xml:space="preserve">章一致）</t>
    </r>
  </si>
  <si>
    <t xml:space="preserve">编号</t>
  </si>
  <si>
    <t xml:space="preserve">断言内容</t>
  </si>
  <si>
    <t xml:space="preserve">对应论文位置</t>
  </si>
  <si>
    <t xml:space="preserve">A01</t>
  </si>
  <si>
    <r>
      <rPr>
        <sz val="11"/>
        <rFont val="Noto Sans CJK SC"/>
        <family val="2"/>
      </rPr>
      <t xml:space="preserve">子批化：</t>
    </r>
    <r>
      <rPr>
        <sz val="11"/>
        <rFont val="等线"/>
        <family val="0"/>
        <charset val="1"/>
      </rPr>
      <t xml:space="preserve">n_A,1=⌈12/4⌉=3(</t>
    </r>
    <r>
      <rPr>
        <sz val="11"/>
        <rFont val="Noto Sans CJK SC"/>
        <family val="2"/>
      </rPr>
      <t xml:space="preserve">批量</t>
    </r>
    <r>
      <rPr>
        <sz val="11"/>
        <rFont val="等线"/>
        <family val="0"/>
        <charset val="1"/>
      </rPr>
      <t xml:space="preserve">4,4,4)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n_B,1=2(4,4)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n_C,1=1(5)</t>
    </r>
    <r>
      <rPr>
        <sz val="11"/>
        <rFont val="Noto Sans CJK SC"/>
        <family val="2"/>
      </rPr>
      <t xml:space="preserve">；工件加工时间</t>
    </r>
    <r>
      <rPr>
        <sz val="11"/>
        <rFont val="等线"/>
        <family val="0"/>
        <charset val="1"/>
      </rPr>
      <t xml:space="preserve">PT_i=β(i)×pt^unit×θ_s</t>
    </r>
  </si>
  <si>
    <r>
      <rPr>
        <sz val="11"/>
        <rFont val="等线"/>
        <family val="0"/>
        <charset val="1"/>
      </rPr>
      <t xml:space="preserve">4.8.1</t>
    </r>
    <r>
      <rPr>
        <sz val="11"/>
        <rFont val="Noto Sans CJK SC"/>
        <family val="2"/>
      </rPr>
      <t xml:space="preserve">节</t>
    </r>
  </si>
  <si>
    <t xml:space="preserve">A02</t>
  </si>
  <si>
    <r>
      <rPr>
        <sz val="11"/>
        <rFont val="Noto Sans CJK SC"/>
        <family val="2"/>
      </rPr>
      <t xml:space="preserve">同族相邻</t>
    </r>
    <r>
      <rPr>
        <sz val="11"/>
        <rFont val="等线"/>
        <family val="0"/>
        <charset val="1"/>
      </rPr>
      <t xml:space="preserve">SDST=0</t>
    </r>
    <r>
      <rPr>
        <sz val="11"/>
        <rFont val="Noto Sans CJK SC"/>
        <family val="2"/>
      </rPr>
      <t xml:space="preserve">；异族按矩阵查表；虚拟工件初始设置</t>
    </r>
    <r>
      <rPr>
        <sz val="11"/>
        <rFont val="等线"/>
        <family val="0"/>
        <charset val="1"/>
      </rPr>
      <t xml:space="preserve">S_0,i=10</t>
    </r>
  </si>
  <si>
    <r>
      <rPr>
        <sz val="11"/>
        <rFont val="等线"/>
        <family val="0"/>
        <charset val="1"/>
      </rPr>
      <t xml:space="preserve">4.8.1</t>
    </r>
    <r>
      <rPr>
        <sz val="11"/>
        <rFont val="Noto Sans CJK SC"/>
        <family val="2"/>
      </rPr>
      <t xml:space="preserve">节</t>
    </r>
    <r>
      <rPr>
        <sz val="11"/>
        <rFont val="等线"/>
        <family val="0"/>
        <charset val="1"/>
      </rPr>
      <t xml:space="preserve">/4.3</t>
    </r>
    <r>
      <rPr>
        <sz val="11"/>
        <rFont val="Noto Sans CJK SC"/>
        <family val="2"/>
      </rPr>
      <t xml:space="preserve">节</t>
    </r>
  </si>
  <si>
    <t xml:space="preserve">A03</t>
  </si>
  <si>
    <r>
      <rPr>
        <sz val="11"/>
        <rFont val="等线"/>
        <family val="0"/>
        <charset val="1"/>
      </rPr>
      <t xml:space="preserve">τ=1,k=0</t>
    </r>
    <r>
      <rPr>
        <sz val="11"/>
        <rFont val="Noto Sans CJK SC"/>
        <family val="2"/>
      </rPr>
      <t xml:space="preserve">：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次不同随机种子重启均</t>
    </r>
    <r>
      <rPr>
        <sz val="11"/>
        <rFont val="等线"/>
        <family val="0"/>
        <charset val="1"/>
      </rPr>
      <t xml:space="preserve">Feas=0</t>
    </r>
  </si>
  <si>
    <r>
      <rPr>
        <sz val="11"/>
        <rFont val="等线"/>
        <family val="0"/>
        <charset val="1"/>
      </rPr>
      <t xml:space="preserve">5.2.1</t>
    </r>
    <r>
      <rPr>
        <sz val="11"/>
        <rFont val="Noto Sans CJK SC"/>
        <family val="2"/>
      </rPr>
      <t xml:space="preserve">判据①</t>
    </r>
  </si>
  <si>
    <t xml:space="preserve">A04</t>
  </si>
  <si>
    <r>
      <rPr>
        <sz val="11"/>
        <rFont val="等线"/>
        <family val="0"/>
        <charset val="1"/>
      </rPr>
      <t xml:space="preserve">ρ</t>
    </r>
    <r>
      <rPr>
        <sz val="11"/>
        <rFont val="Noto Sans CJK SC"/>
        <family val="2"/>
      </rPr>
      <t xml:space="preserve">输出与式</t>
    </r>
    <r>
      <rPr>
        <sz val="11"/>
        <rFont val="等线"/>
        <family val="0"/>
        <charset val="1"/>
      </rPr>
      <t xml:space="preserve">(5-15)</t>
    </r>
    <r>
      <rPr>
        <sz val="11"/>
        <rFont val="Noto Sans CJK SC"/>
        <family val="2"/>
      </rPr>
      <t xml:space="preserve">手算一致：</t>
    </r>
    <r>
      <rPr>
        <sz val="11"/>
        <rFont val="等线"/>
        <family val="0"/>
        <charset val="1"/>
      </rPr>
      <t xml:space="preserve">ρ=1−min{1, max{0,C_max−480}/120}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</si>
  <si>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(5-15)</t>
    </r>
  </si>
  <si>
    <t xml:space="preserve">A05</t>
  </si>
  <si>
    <r>
      <rPr>
        <sz val="11"/>
        <rFont val="等线"/>
        <family val="0"/>
        <charset val="1"/>
      </rPr>
      <t xml:space="preserve">OT=max{0,C_max−480}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Θ_2^sdst</t>
    </r>
    <r>
      <rPr>
        <sz val="11"/>
        <rFont val="Noto Sans CJK SC"/>
        <family val="2"/>
      </rPr>
      <t xml:space="preserve">等于代表解甘特图上</t>
    </r>
    <r>
      <rPr>
        <sz val="11"/>
        <rFont val="等线"/>
        <family val="0"/>
        <charset val="1"/>
      </rPr>
      <t xml:space="preserve">M21</t>
    </r>
    <r>
      <rPr>
        <sz val="11"/>
        <rFont val="Noto Sans CJK SC"/>
        <family val="2"/>
      </rPr>
      <t xml:space="preserve">各设置段之和（若为缓冲序则</t>
    </r>
    <r>
      <rPr>
        <sz val="11"/>
        <rFont val="等线"/>
        <family val="0"/>
        <charset val="1"/>
      </rPr>
      <t xml:space="preserve">=65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</si>
  <si>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(5-4)/4.8.2</t>
    </r>
    <r>
      <rPr>
        <sz val="11"/>
        <rFont val="Noto Sans CJK SC"/>
        <family val="2"/>
      </rPr>
      <t xml:space="preserve">节</t>
    </r>
  </si>
  <si>
    <t xml:space="preserve">A06</t>
  </si>
  <si>
    <r>
      <rPr>
        <sz val="11"/>
        <rFont val="等线"/>
        <family val="0"/>
        <charset val="1"/>
      </rPr>
      <t xml:space="preserve">Δc^(1)</t>
    </r>
    <r>
      <rPr>
        <sz val="11"/>
        <rFont val="Noto Sans CJK SC"/>
        <family val="2"/>
      </rPr>
      <t xml:space="preserve">量纲为元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件；</t>
    </r>
    <r>
      <rPr>
        <sz val="11"/>
        <rFont val="等线"/>
        <family val="0"/>
        <charset val="1"/>
      </rPr>
      <t xml:space="preserve">Σ_p χ_p=1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k=0</t>
    </r>
    <r>
      <rPr>
        <sz val="11"/>
        <rFont val="Noto Sans CJK SC"/>
        <family val="2"/>
      </rPr>
      <t xml:space="preserve">基线下</t>
    </r>
    <r>
      <rPr>
        <sz val="11"/>
        <rFont val="等线"/>
        <family val="0"/>
        <charset val="1"/>
      </rPr>
      <t xml:space="preserve">κ_L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κ_E</t>
    </r>
    <r>
      <rPr>
        <sz val="11"/>
        <rFont val="Noto Sans CJK SC"/>
        <family val="2"/>
      </rPr>
      <t xml:space="preserve">增量项</t>
    </r>
    <r>
      <rPr>
        <sz val="11"/>
        <rFont val="等线"/>
        <family val="0"/>
        <charset val="1"/>
      </rPr>
      <t xml:space="preserve">=0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Δc^(1)=(1−γ)·0+γ·Δĉ</t>
    </r>
    <r>
      <rPr>
        <sz val="11"/>
        <rFont val="Noto Sans CJK SC"/>
        <family val="2"/>
      </rPr>
      <t xml:space="preserve">且≤</t>
    </r>
    <r>
      <rPr>
        <sz val="11"/>
        <rFont val="等线"/>
        <family val="0"/>
        <charset val="1"/>
      </rPr>
      <t xml:space="preserve">δ^max·c_p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</si>
  <si>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(5-1)~(5-3)</t>
    </r>
    <r>
      <rPr>
        <sz val="11"/>
        <rFont val="Noto Sans CJK SC"/>
        <family val="2"/>
      </rPr>
      <t xml:space="preserve">及增量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阻尼段</t>
    </r>
  </si>
  <si>
    <t xml:space="preserve">A07</t>
  </si>
  <si>
    <r>
      <rPr>
        <sz val="11"/>
        <rFont val="等线"/>
        <family val="0"/>
        <charset val="1"/>
      </rPr>
      <t xml:space="preserve">Cap_2^eff,(1)=max{0, 480×η−Θ_2}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τ=1</t>
    </r>
    <r>
      <rPr>
        <sz val="11"/>
        <rFont val="Noto Sans CJK SC"/>
        <family val="2"/>
      </rPr>
      <t xml:space="preserve">时</t>
    </r>
    <r>
      <rPr>
        <sz val="11"/>
        <rFont val="等线"/>
        <family val="0"/>
        <charset val="1"/>
      </rPr>
      <t xml:space="preserve">η=1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τ=2</t>
    </r>
    <r>
      <rPr>
        <sz val="11"/>
        <rFont val="Noto Sans CJK SC"/>
        <family val="2"/>
      </rPr>
      <t xml:space="preserve">时</t>
    </r>
    <r>
      <rPr>
        <sz val="11"/>
        <rFont val="等线"/>
        <family val="0"/>
        <charset val="1"/>
      </rPr>
      <t xml:space="preserve">η=0.8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</si>
  <si>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(5-5)</t>
    </r>
    <r>
      <rPr>
        <sz val="11"/>
        <rFont val="Noto Sans CJK SC"/>
        <family val="2"/>
      </rPr>
      <t xml:space="preserve">与</t>
    </r>
    <r>
      <rPr>
        <sz val="11"/>
        <rFont val="等线"/>
        <family val="0"/>
        <charset val="1"/>
      </rPr>
      <t xml:space="preserve">η</t>
    </r>
    <r>
      <rPr>
        <sz val="11"/>
        <rFont val="Noto Sans CJK SC"/>
        <family val="2"/>
      </rPr>
      <t xml:space="preserve">定义式</t>
    </r>
  </si>
  <si>
    <t xml:space="preserve">A08</t>
  </si>
  <si>
    <r>
      <rPr>
        <sz val="11"/>
        <rFont val="等线"/>
        <family val="0"/>
        <charset val="1"/>
      </rPr>
      <t xml:space="preserve">τ=1,k=1</t>
    </r>
    <r>
      <rPr>
        <sz val="11"/>
        <rFont val="Noto Sans CJK SC"/>
        <family val="2"/>
      </rPr>
      <t xml:space="preserve">计划层解满足：阶段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负荷≤</t>
    </r>
    <r>
      <rPr>
        <sz val="11"/>
        <rFont val="等线"/>
        <family val="0"/>
        <charset val="1"/>
      </rPr>
      <t xml:space="preserve">415</t>
    </r>
    <r>
      <rPr>
        <sz val="11"/>
        <rFont val="Noto Sans CJK SC"/>
        <family val="2"/>
      </rPr>
      <t xml:space="preserve">；</t>
    </r>
    <r>
      <rPr>
        <sz val="11"/>
        <rFont val="等线"/>
        <family val="0"/>
        <charset val="1"/>
      </rPr>
      <t xml:space="preserve">t&gt;τ</t>
    </r>
    <r>
      <rPr>
        <sz val="11"/>
        <rFont val="Noto Sans CJK SC"/>
        <family val="2"/>
      </rPr>
      <t xml:space="preserve">各周期</t>
    </r>
    <r>
      <rPr>
        <sz val="11"/>
        <rFont val="等线"/>
        <family val="0"/>
        <charset val="1"/>
      </rPr>
      <t xml:space="preserve">Δc</t>
    </r>
    <r>
      <rPr>
        <sz val="11"/>
        <rFont val="Noto Sans CJK SC"/>
        <family val="2"/>
      </rPr>
      <t xml:space="preserve">与</t>
    </r>
    <r>
      <rPr>
        <sz val="11"/>
        <rFont val="等线"/>
        <family val="0"/>
        <charset val="1"/>
      </rPr>
      <t xml:space="preserve">Cap^eff</t>
    </r>
    <r>
      <rPr>
        <sz val="11"/>
        <rFont val="Noto Sans CJK SC"/>
        <family val="2"/>
      </rPr>
      <t xml:space="preserve">沿用上轮值</t>
    </r>
  </si>
  <si>
    <r>
      <rPr>
        <sz val="11"/>
        <rFont val="等线"/>
        <family val="0"/>
        <charset val="1"/>
      </rPr>
      <t xml:space="preserve">3.2.1</t>
    </r>
    <r>
      <rPr>
        <sz val="11"/>
        <rFont val="Noto Sans CJK SC"/>
        <family val="2"/>
      </rPr>
      <t xml:space="preserve">节下标约定</t>
    </r>
    <r>
      <rPr>
        <sz val="11"/>
        <rFont val="等线"/>
        <family val="0"/>
        <charset val="1"/>
      </rPr>
      <t xml:space="preserve">/5.2.2</t>
    </r>
    <r>
      <rPr>
        <sz val="11"/>
        <rFont val="Noto Sans CJK SC"/>
        <family val="2"/>
      </rPr>
      <t xml:space="preserve">节</t>
    </r>
  </si>
  <si>
    <t xml:space="preserve">A09</t>
  </si>
  <si>
    <r>
      <rPr>
        <sz val="11"/>
        <rFont val="Noto Sans CJK SC"/>
        <family val="2"/>
      </rPr>
      <t xml:space="preserve">冻结判定同时核查四条件（</t>
    </r>
    <r>
      <rPr>
        <sz val="11"/>
        <rFont val="等线"/>
        <family val="0"/>
        <charset val="1"/>
      </rPr>
      <t xml:space="preserve">Feas=1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C_max≤T^avail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Δℋ=∅</t>
    </r>
    <r>
      <rPr>
        <sz val="11"/>
        <rFont val="Noto Sans CJK SC"/>
        <family val="2"/>
      </rPr>
      <t xml:space="preserve">、稳定性；</t>
    </r>
    <r>
      <rPr>
        <sz val="11"/>
        <rFont val="等线"/>
        <family val="0"/>
        <charset val="1"/>
      </rPr>
      <t xml:space="preserve">k=0</t>
    </r>
    <r>
      <rPr>
        <sz val="11"/>
        <rFont val="Noto Sans CJK SC"/>
        <family val="2"/>
      </rPr>
      <t xml:space="preserve">时稳定性默认满足）</t>
    </r>
  </si>
  <si>
    <r>
      <rPr>
        <sz val="11"/>
        <rFont val="等线"/>
        <family val="0"/>
        <charset val="1"/>
      </rPr>
      <t xml:space="preserve">3.5.4</t>
    </r>
    <r>
      <rPr>
        <sz val="11"/>
        <rFont val="Noto Sans CJK SC"/>
        <family val="2"/>
      </rPr>
      <t xml:space="preserve">节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算法</t>
    </r>
    <r>
      <rPr>
        <sz val="11"/>
        <rFont val="等线"/>
        <family val="0"/>
        <charset val="1"/>
      </rPr>
      <t xml:space="preserve">5-1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20</t>
    </r>
    <r>
      <rPr>
        <sz val="11"/>
        <rFont val="Noto Sans CJK SC"/>
        <family val="2"/>
      </rPr>
      <t xml:space="preserve">行</t>
    </r>
  </si>
  <si>
    <t xml:space="preserve">A10</t>
  </si>
  <si>
    <r>
      <rPr>
        <sz val="11"/>
        <rFont val="等线"/>
        <family val="0"/>
        <charset val="1"/>
      </rPr>
      <t xml:space="preserve">τ=3</t>
    </r>
    <r>
      <rPr>
        <sz val="11"/>
        <rFont val="Noto Sans CJK SC"/>
        <family val="2"/>
      </rPr>
      <t xml:space="preserve">三步判据逐步命中：①通过②不排除③</t>
    </r>
    <r>
      <rPr>
        <sz val="11"/>
        <rFont val="等线"/>
        <family val="0"/>
        <charset val="1"/>
      </rPr>
      <t xml:space="preserve">S={B,C}≠∅ → </t>
    </r>
    <r>
      <rPr>
        <sz val="11"/>
        <rFont val="Noto Sans CJK SC"/>
        <family val="2"/>
      </rPr>
      <t xml:space="preserve">生成割 </t>
    </r>
    <r>
      <rPr>
        <sz val="11"/>
        <rFont val="等线"/>
        <family val="0"/>
        <charset val="1"/>
      </rPr>
      <t xml:space="preserve">Y_B+Y_C≤1</t>
    </r>
    <r>
      <rPr>
        <sz val="11"/>
        <rFont val="Noto Sans CJK SC"/>
        <family val="2"/>
      </rPr>
      <t xml:space="preserve">（式</t>
    </r>
    <r>
      <rPr>
        <sz val="11"/>
        <rFont val="等线"/>
        <family val="0"/>
        <charset val="1"/>
      </rPr>
      <t xml:space="preserve">5-9</t>
    </r>
    <r>
      <rPr>
        <sz val="11"/>
        <rFont val="Noto Sans CJK SC"/>
        <family val="2"/>
      </rPr>
      <t xml:space="preserve">形式）</t>
    </r>
  </si>
  <si>
    <r>
      <rPr>
        <sz val="11"/>
        <rFont val="等线"/>
        <family val="0"/>
        <charset val="1"/>
      </rPr>
      <t xml:space="preserve">5.2.1</t>
    </r>
    <r>
      <rPr>
        <sz val="11"/>
        <rFont val="Noto Sans CJK SC"/>
        <family val="2"/>
      </rPr>
      <t xml:space="preserve">节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(5-6)(5-9)</t>
    </r>
  </si>
  <si>
    <t xml:space="preserve">A11</t>
  </si>
  <si>
    <r>
      <rPr>
        <sz val="11"/>
        <rFont val="Noto Sans CJK SC"/>
        <family val="2"/>
      </rPr>
      <t xml:space="preserve">割仅作用于</t>
    </r>
    <r>
      <rPr>
        <sz val="11"/>
        <rFont val="等线"/>
        <family val="0"/>
        <charset val="1"/>
      </rPr>
      <t xml:space="preserve">t=τ=3</t>
    </r>
    <r>
      <rPr>
        <sz val="11"/>
        <rFont val="Noto Sans CJK SC"/>
        <family val="2"/>
      </rPr>
      <t xml:space="preserve">；重解后</t>
    </r>
    <r>
      <rPr>
        <sz val="11"/>
        <rFont val="等线"/>
        <family val="0"/>
        <charset val="1"/>
      </rPr>
      <t xml:space="preserve">Y_B,3+Y_C,3≤1</t>
    </r>
    <r>
      <rPr>
        <sz val="11"/>
        <rFont val="Noto Sans CJK SC"/>
        <family val="2"/>
      </rPr>
      <t xml:space="preserve">成立；预计移</t>
    </r>
    <r>
      <rPr>
        <sz val="11"/>
        <rFont val="等线"/>
        <family val="0"/>
        <charset val="1"/>
      </rPr>
      <t xml:space="preserve">C</t>
    </r>
    <r>
      <rPr>
        <sz val="11"/>
        <rFont val="Noto Sans CJK SC"/>
        <family val="2"/>
      </rPr>
      <t xml:space="preserve">（延期惩罚</t>
    </r>
    <r>
      <rPr>
        <sz val="11"/>
        <rFont val="等线"/>
        <family val="0"/>
        <charset val="1"/>
      </rPr>
      <t xml:space="preserve">72&lt;112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</si>
  <si>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(3-12)/(5-9)</t>
    </r>
  </si>
  <si>
    <t xml:space="preserve">A12</t>
  </si>
  <si>
    <r>
      <rPr>
        <sz val="11"/>
        <rFont val="等线"/>
        <family val="0"/>
        <charset val="1"/>
      </rPr>
      <t xml:space="preserve">ℋ_3^inf</t>
    </r>
    <r>
      <rPr>
        <sz val="11"/>
        <rFont val="Noto Sans CJK SC"/>
        <family val="2"/>
      </rPr>
      <t xml:space="preserve">在</t>
    </r>
    <r>
      <rPr>
        <sz val="11"/>
        <rFont val="等线"/>
        <family val="0"/>
        <charset val="1"/>
      </rPr>
      <t xml:space="preserve">τ=3</t>
    </r>
    <r>
      <rPr>
        <sz val="11"/>
        <rFont val="Noto Sans CJK SC"/>
        <family val="2"/>
      </rPr>
      <t xml:space="preserve">冻结后清空，ℋ</t>
    </r>
    <r>
      <rPr>
        <sz val="11"/>
        <rFont val="等线"/>
        <family val="0"/>
        <charset val="1"/>
      </rPr>
      <t xml:space="preserve">_4^inf,(0)=∅</t>
    </r>
    <r>
      <rPr>
        <sz val="11"/>
        <rFont val="Noto Sans CJK SC"/>
        <family val="2"/>
      </rPr>
      <t xml:space="preserve">；周期内</t>
    </r>
    <r>
      <rPr>
        <sz val="11"/>
        <rFont val="等线"/>
        <family val="0"/>
        <charset val="1"/>
      </rPr>
      <t xml:space="preserve">Δℋ</t>
    </r>
    <r>
      <rPr>
        <sz val="11"/>
        <rFont val="Noto Sans CJK SC"/>
        <family val="2"/>
      </rPr>
      <t xml:space="preserve">按式</t>
    </r>
    <r>
      <rPr>
        <sz val="11"/>
        <rFont val="等线"/>
        <family val="0"/>
        <charset val="1"/>
      </rPr>
      <t xml:space="preserve">(5-10)</t>
    </r>
    <r>
      <rPr>
        <sz val="11"/>
        <rFont val="Noto Sans CJK SC"/>
        <family val="2"/>
      </rPr>
      <t xml:space="preserve">累积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</si>
  <si>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(5-10)</t>
    </r>
    <r>
      <rPr>
        <sz val="11"/>
        <rFont val="Noto Sans CJK SC"/>
        <family val="2"/>
      </rPr>
      <t xml:space="preserve">与清零机制</t>
    </r>
  </si>
  <si>
    <t xml:space="preserve">A13</t>
  </si>
  <si>
    <r>
      <rPr>
        <sz val="11"/>
        <rFont val="Noto Sans CJK SC"/>
        <family val="2"/>
      </rPr>
      <t xml:space="preserve">状态链：</t>
    </r>
    <r>
      <rPr>
        <sz val="11"/>
        <rFont val="等线"/>
        <family val="0"/>
        <charset val="1"/>
      </rPr>
      <t xml:space="preserve">Back_B,1</t>
    </r>
    <r>
      <rPr>
        <sz val="11"/>
        <rFont val="Noto Sans CJK SC"/>
        <family val="2"/>
      </rPr>
      <t xml:space="preserve">经式</t>
    </r>
    <r>
      <rPr>
        <sz val="11"/>
        <rFont val="等线"/>
        <family val="0"/>
        <charset val="1"/>
      </rPr>
      <t xml:space="preserve">(3-9)</t>
    </r>
    <r>
      <rPr>
        <sz val="11"/>
        <rFont val="Noto Sans CJK SC"/>
        <family val="2"/>
      </rPr>
      <t xml:space="preserve">进入</t>
    </r>
    <r>
      <rPr>
        <sz val="11"/>
        <rFont val="等线"/>
        <family val="0"/>
        <charset val="1"/>
      </rPr>
      <t xml:space="preserve">τ=2</t>
    </r>
    <r>
      <rPr>
        <sz val="11"/>
        <rFont val="Noto Sans CJK SC"/>
        <family val="2"/>
      </rPr>
      <t xml:space="preserve">平衡并清偿；</t>
    </r>
    <r>
      <rPr>
        <sz val="11"/>
        <rFont val="等线"/>
        <family val="0"/>
        <charset val="1"/>
      </rPr>
      <t xml:space="preserve">Back_C,3</t>
    </r>
    <r>
      <rPr>
        <sz val="11"/>
        <rFont val="Noto Sans CJK SC"/>
        <family val="2"/>
      </rPr>
      <t xml:space="preserve">在</t>
    </r>
    <r>
      <rPr>
        <sz val="11"/>
        <rFont val="等线"/>
        <family val="0"/>
        <charset val="1"/>
      </rPr>
      <t xml:space="preserve">τ=4</t>
    </r>
    <r>
      <rPr>
        <sz val="11"/>
        <rFont val="Noto Sans CJK SC"/>
        <family val="2"/>
      </rPr>
      <t xml:space="preserve">清偿；</t>
    </r>
    <r>
      <rPr>
        <sz val="11"/>
        <rFont val="等线"/>
        <family val="0"/>
        <charset val="1"/>
      </rPr>
      <t xml:space="preserve">T_max</t>
    </r>
    <r>
      <rPr>
        <sz val="11"/>
        <rFont val="Noto Sans CJK SC"/>
        <family val="2"/>
      </rPr>
      <t xml:space="preserve">末全部</t>
    </r>
    <r>
      <rPr>
        <sz val="11"/>
        <rFont val="等线"/>
        <family val="0"/>
        <charset val="1"/>
      </rPr>
      <t xml:space="preserve">Back=0</t>
    </r>
    <r>
      <rPr>
        <sz val="11"/>
        <rFont val="Noto Sans CJK SC"/>
        <family val="2"/>
      </rPr>
      <t xml:space="preserve">、库存≥</t>
    </r>
    <r>
      <rPr>
        <sz val="11"/>
        <rFont val="等线"/>
        <family val="0"/>
        <charset val="1"/>
      </rPr>
      <t xml:space="preserve">0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O^unfin=∅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</si>
  <si>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(3-9)/(3-27)~(3-30)</t>
    </r>
  </si>
  <si>
    <t xml:space="preserve">A14</t>
  </si>
  <si>
    <r>
      <rPr>
        <sz val="11"/>
        <rFont val="Noto Sans CJK SC"/>
        <family val="2"/>
      </rPr>
      <t xml:space="preserve">代表解选择：</t>
    </r>
    <r>
      <rPr>
        <sz val="11"/>
        <rFont val="等线"/>
        <family val="0"/>
        <charset val="1"/>
      </rPr>
      <t xml:space="preserve">Ω^acc</t>
    </r>
    <r>
      <rPr>
        <sz val="11"/>
        <rFont val="Noto Sans CJK SC"/>
        <family val="2"/>
      </rPr>
      <t xml:space="preserve">非空时取</t>
    </r>
    <r>
      <rPr>
        <sz val="11"/>
        <rFont val="等线"/>
        <family val="0"/>
        <charset val="1"/>
      </rPr>
      <t xml:space="preserve">s(π)</t>
    </r>
    <r>
      <rPr>
        <sz val="11"/>
        <rFont val="Noto Sans CJK SC"/>
        <family val="2"/>
      </rPr>
      <t xml:space="preserve">最小；</t>
    </r>
    <r>
      <rPr>
        <sz val="11"/>
        <rFont val="等线"/>
        <family val="0"/>
        <charset val="1"/>
      </rPr>
      <t xml:space="preserve">τ=3,k=0</t>
    </r>
    <r>
      <rPr>
        <sz val="11"/>
        <rFont val="Noto Sans CJK SC"/>
        <family val="2"/>
      </rPr>
      <t xml:space="preserve">时</t>
    </r>
    <r>
      <rPr>
        <sz val="11"/>
        <rFont val="等线"/>
        <family val="0"/>
        <charset val="1"/>
      </rPr>
      <t xml:space="preserve">Ω^acc=∅ → </t>
    </r>
    <r>
      <rPr>
        <sz val="11"/>
        <rFont val="Noto Sans CJK SC"/>
        <family val="2"/>
      </rPr>
      <t xml:space="preserve">走式</t>
    </r>
    <r>
      <rPr>
        <sz val="11"/>
        <rFont val="等线"/>
        <family val="0"/>
        <charset val="1"/>
      </rPr>
      <t xml:space="preserve">(5-18)</t>
    </r>
    <r>
      <rPr>
        <sz val="11"/>
        <rFont val="Noto Sans CJK SC"/>
        <family val="2"/>
      </rPr>
      <t xml:space="preserve">违约字典序兜底，兜底解仅用于反馈折算不被冻结</t>
    </r>
  </si>
  <si>
    <r>
      <rPr>
        <sz val="11"/>
        <rFont val="Noto Sans CJK SC"/>
        <family val="2"/>
      </rPr>
      <t xml:space="preserve">式</t>
    </r>
    <r>
      <rPr>
        <sz val="11"/>
        <rFont val="等线"/>
        <family val="0"/>
        <charset val="1"/>
      </rPr>
      <t xml:space="preserve">(5-16)~(5-18)</t>
    </r>
  </si>
  <si>
    <r>
      <rPr>
        <b val="true"/>
        <sz val="12"/>
        <rFont val="Noto Sans CJK SC"/>
        <family val="2"/>
      </rPr>
      <t xml:space="preserve">变体测试（主线</t>
    </r>
    <r>
      <rPr>
        <b val="true"/>
        <sz val="12"/>
        <rFont val="等线"/>
        <family val="0"/>
        <charset val="1"/>
      </rPr>
      <t xml:space="preserve">V1</t>
    </r>
    <r>
      <rPr>
        <b val="true"/>
        <sz val="12"/>
        <rFont val="Noto Sans CJK SC"/>
        <family val="2"/>
      </rPr>
      <t xml:space="preserve">通过后逐项执行）</t>
    </r>
  </si>
  <si>
    <t xml:space="preserve">变体</t>
  </si>
  <si>
    <t xml:space="preserve">设置改动</t>
  </si>
  <si>
    <t xml:space="preserve">预期行为与断言</t>
  </si>
  <si>
    <r>
      <rPr>
        <sz val="11"/>
        <rFont val="等线"/>
        <family val="0"/>
        <charset val="1"/>
      </rPr>
      <t xml:space="preserve">V2 </t>
    </r>
    <r>
      <rPr>
        <sz val="11"/>
        <rFont val="Noto Sans CJK SC"/>
        <family val="2"/>
      </rPr>
      <t xml:space="preserve">保护处理</t>
    </r>
  </si>
  <si>
    <r>
      <rPr>
        <sz val="11"/>
        <rFont val="Noto Sans CJK SC"/>
        <family val="2"/>
      </rPr>
      <t xml:space="preserve">关闭通道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（不生成割），其余同</t>
    </r>
    <r>
      <rPr>
        <sz val="11"/>
        <rFont val="等线"/>
        <family val="0"/>
        <charset val="1"/>
      </rPr>
      <t xml:space="preserve">V1</t>
    </r>
    <r>
      <rPr>
        <sz val="11"/>
        <rFont val="Noto Sans CJK SC"/>
        <family val="2"/>
      </rPr>
      <t xml:space="preserve">；建议同时将</t>
    </r>
    <r>
      <rPr>
        <sz val="11"/>
        <rFont val="等线"/>
        <family val="0"/>
        <charset val="1"/>
      </rPr>
      <t xml:space="preserve">K_max=2</t>
    </r>
    <r>
      <rPr>
        <sz val="11"/>
        <rFont val="Noto Sans CJK SC"/>
        <family val="2"/>
      </rPr>
      <t xml:space="preserve">以缩短测试</t>
    </r>
  </si>
  <si>
    <r>
      <rPr>
        <sz val="11"/>
        <rFont val="等线"/>
        <family val="0"/>
        <charset val="1"/>
      </rPr>
      <t xml:space="preserve">τ=3</t>
    </r>
    <r>
      <rPr>
        <sz val="11"/>
        <rFont val="Noto Sans CJK SC"/>
        <family val="2"/>
      </rPr>
      <t xml:space="preserve">反馈迭代达</t>
    </r>
    <r>
      <rPr>
        <sz val="11"/>
        <rFont val="等线"/>
        <family val="0"/>
        <charset val="1"/>
      </rPr>
      <t xml:space="preserve">K_max</t>
    </r>
    <r>
      <rPr>
        <sz val="11"/>
        <rFont val="Noto Sans CJK SC"/>
        <family val="2"/>
      </rPr>
      <t xml:space="preserve">仍不满足可接受性 → 触发算法</t>
    </r>
    <r>
      <rPr>
        <sz val="11"/>
        <rFont val="等线"/>
        <family val="0"/>
        <charset val="1"/>
      </rPr>
      <t xml:space="preserve">5-1</t>
    </r>
    <r>
      <rPr>
        <sz val="11"/>
        <rFont val="Noto Sans CJK SC"/>
        <family val="2"/>
      </rPr>
      <t xml:space="preserve">第</t>
    </r>
    <r>
      <rPr>
        <sz val="11"/>
        <rFont val="等线"/>
        <family val="0"/>
        <charset val="1"/>
      </rPr>
      <t xml:space="preserve">23~32</t>
    </r>
    <r>
      <rPr>
        <sz val="11"/>
        <rFont val="Noto Sans CJK SC"/>
        <family val="2"/>
      </rPr>
      <t xml:space="preserve">行：按</t>
    </r>
    <r>
      <rPr>
        <sz val="11"/>
        <rFont val="等线"/>
        <family val="0"/>
        <charset val="1"/>
      </rPr>
      <t xml:space="preserve">b_p</t>
    </r>
    <r>
      <rPr>
        <sz val="11"/>
        <rFont val="Noto Sans CJK SC"/>
        <family val="2"/>
      </rPr>
      <t xml:space="preserve">升序（</t>
    </r>
    <r>
      <rPr>
        <sz val="11"/>
        <rFont val="等线"/>
        <family val="0"/>
        <charset val="1"/>
      </rPr>
      <t xml:space="preserve">B=8</t>
    </r>
    <r>
      <rPr>
        <sz val="11"/>
        <rFont val="Noto Sans CJK SC"/>
        <family val="2"/>
      </rPr>
      <t xml:space="preserve">最小）选产品、同产品内按</t>
    </r>
    <r>
      <rPr>
        <sz val="11"/>
        <rFont val="等线"/>
        <family val="0"/>
        <charset val="1"/>
      </rPr>
      <t xml:space="preserve">β(i)</t>
    </r>
    <r>
      <rPr>
        <sz val="11"/>
        <rFont val="Noto Sans CJK SC"/>
        <family val="2"/>
      </rPr>
      <t xml:space="preserve">降序（</t>
    </r>
    <r>
      <rPr>
        <sz val="11"/>
        <rFont val="等线"/>
        <family val="0"/>
        <charset val="1"/>
      </rPr>
      <t xml:space="preserve">4,4,4,2</t>
    </r>
    <r>
      <rPr>
        <sz val="11"/>
        <rFont val="Noto Sans CJK SC"/>
        <family val="2"/>
      </rPr>
      <t xml:space="preserve">）逐子批移入</t>
    </r>
    <r>
      <rPr>
        <sz val="11"/>
        <rFont val="等线"/>
        <family val="0"/>
        <charset val="1"/>
      </rPr>
      <t xml:space="preserve">O_3^unfin</t>
    </r>
    <r>
      <rPr>
        <sz val="11"/>
        <rFont val="Noto Sans CJK SC"/>
        <family val="2"/>
      </rPr>
      <t xml:space="preserve">，每移一子批重排；断言：</t>
    </r>
    <r>
      <rPr>
        <sz val="11"/>
        <rFont val="等线"/>
        <family val="0"/>
        <charset val="1"/>
      </rPr>
      <t xml:space="preserve">q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Y</t>
    </r>
    <r>
      <rPr>
        <sz val="11"/>
        <rFont val="Noto Sans CJK SC"/>
        <family val="2"/>
      </rPr>
      <t xml:space="preserve">同步更新，</t>
    </r>
    <r>
      <rPr>
        <sz val="11"/>
        <rFont val="等线"/>
        <family val="0"/>
        <charset val="1"/>
      </rPr>
      <t xml:space="preserve">Back_B,3</t>
    </r>
    <r>
      <rPr>
        <sz val="11"/>
        <rFont val="Noto Sans CJK SC"/>
        <family val="2"/>
      </rPr>
      <t xml:space="preserve">经式</t>
    </r>
    <r>
      <rPr>
        <sz val="11"/>
        <rFont val="等线"/>
        <family val="0"/>
        <charset val="1"/>
      </rPr>
      <t xml:space="preserve">(3-9)</t>
    </r>
    <r>
      <rPr>
        <sz val="11"/>
        <rFont val="Noto Sans CJK SC"/>
        <family val="2"/>
      </rPr>
      <t xml:space="preserve">重算</t>
    </r>
    <r>
      <rPr>
        <sz val="11"/>
        <rFont val="等线"/>
        <family val="0"/>
        <charset val="1"/>
      </rPr>
      <t xml:space="preserve">=</t>
    </r>
    <r>
      <rPr>
        <sz val="11"/>
        <rFont val="Noto Sans CJK SC"/>
        <family val="2"/>
      </rPr>
      <t xml:space="preserve">移出量，</t>
    </r>
    <r>
      <rPr>
        <sz val="11"/>
        <rFont val="等线"/>
        <family val="0"/>
        <charset val="1"/>
      </rPr>
      <t xml:space="preserve">O^unfin</t>
    </r>
    <r>
      <rPr>
        <sz val="11"/>
        <rFont val="Noto Sans CJK SC"/>
        <family val="2"/>
      </rPr>
      <t xml:space="preserve">仅登记订单编号不重复计数</t>
    </r>
  </si>
  <si>
    <r>
      <rPr>
        <sz val="11"/>
        <rFont val="等线"/>
        <family val="0"/>
        <charset val="1"/>
      </rPr>
      <t xml:space="preserve">V3 </t>
    </r>
    <r>
      <rPr>
        <sz val="11"/>
        <rFont val="Noto Sans CJK SC"/>
        <family val="2"/>
      </rPr>
      <t xml:space="preserve">精确对照</t>
    </r>
  </si>
  <si>
    <r>
      <rPr>
        <sz val="11"/>
        <rFont val="Noto Sans CJK SC"/>
        <family val="2"/>
      </rPr>
      <t xml:space="preserve">每个周期调度子问题（工件数≤</t>
    </r>
    <r>
      <rPr>
        <sz val="11"/>
        <rFont val="等线"/>
        <family val="0"/>
        <charset val="1"/>
      </rPr>
      <t xml:space="preserve">6</t>
    </r>
    <r>
      <rPr>
        <sz val="11"/>
        <rFont val="Noto Sans CJK SC"/>
        <family val="2"/>
      </rPr>
      <t xml:space="preserve">）另用</t>
    </r>
    <r>
      <rPr>
        <sz val="11"/>
        <rFont val="等线"/>
        <family val="0"/>
        <charset val="1"/>
      </rPr>
      <t xml:space="preserve">Gurobi</t>
    </r>
    <r>
      <rPr>
        <sz val="11"/>
        <rFont val="Noto Sans CJK SC"/>
        <family val="2"/>
      </rPr>
      <t xml:space="preserve">按式</t>
    </r>
    <r>
      <rPr>
        <sz val="11"/>
        <rFont val="等线"/>
        <family val="0"/>
        <charset val="1"/>
      </rPr>
      <t xml:space="preserve">(4-1)~(4-34)</t>
    </r>
    <r>
      <rPr>
        <sz val="11"/>
        <rFont val="Noto Sans CJK SC"/>
        <family val="2"/>
      </rPr>
      <t xml:space="preserve">精确求解</t>
    </r>
    <r>
      <rPr>
        <sz val="11"/>
        <rFont val="等线"/>
        <family val="0"/>
        <charset val="1"/>
      </rPr>
      <t xml:space="preserve">Pareto</t>
    </r>
    <r>
      <rPr>
        <sz val="11"/>
        <rFont val="Noto Sans CJK SC"/>
        <family val="2"/>
      </rPr>
      <t xml:space="preserve">前沿（</t>
    </r>
    <r>
      <rPr>
        <sz val="11"/>
        <rFont val="等线"/>
        <family val="0"/>
        <charset val="1"/>
      </rPr>
      <t xml:space="preserve">ε-</t>
    </r>
    <r>
      <rPr>
        <sz val="11"/>
        <rFont val="Noto Sans CJK SC"/>
        <family val="2"/>
      </rPr>
      <t xml:space="preserve">约束）</t>
    </r>
  </si>
  <si>
    <r>
      <rPr>
        <sz val="11"/>
        <rFont val="等线"/>
        <family val="0"/>
        <charset val="1"/>
      </rPr>
      <t xml:space="preserve">NSGA-II-VNS-MOSA</t>
    </r>
    <r>
      <rPr>
        <sz val="11"/>
        <rFont val="Noto Sans CJK SC"/>
        <family val="2"/>
      </rPr>
      <t xml:space="preserve">所得非支配解集不被精确前沿支配或差距在容差内；与小论文精确验证口径一致，验证元启发式实现无</t>
    </r>
    <r>
      <rPr>
        <sz val="11"/>
        <rFont val="等线"/>
        <family val="0"/>
        <charset val="1"/>
      </rPr>
      <t xml:space="preserve">bug</t>
    </r>
  </si>
  <si>
    <r>
      <rPr>
        <sz val="11"/>
        <rFont val="等线"/>
        <family val="0"/>
        <charset val="1"/>
      </rPr>
      <t xml:space="preserve">V4 </t>
    </r>
    <r>
      <rPr>
        <sz val="11"/>
        <rFont val="Noto Sans CJK SC"/>
        <family val="2"/>
      </rPr>
      <t xml:space="preserve">权重敏感</t>
    </r>
  </si>
  <si>
    <r>
      <rPr>
        <sz val="11"/>
        <rFont val="Noto Sans CJK SC"/>
        <family val="2"/>
      </rPr>
      <t xml:space="preserve">权重改为</t>
    </r>
    <r>
      <rPr>
        <sz val="11"/>
        <rFont val="等线"/>
        <family val="0"/>
        <charset val="1"/>
      </rPr>
      <t xml:space="preserve">(0.20,0.30,0.50)</t>
    </r>
    <r>
      <rPr>
        <sz val="11"/>
        <rFont val="Noto Sans CJK SC"/>
        <family val="2"/>
      </rPr>
      <t xml:space="preserve">重跑</t>
    </r>
    <r>
      <rPr>
        <sz val="11"/>
        <rFont val="等线"/>
        <family val="0"/>
        <charset val="1"/>
      </rPr>
      <t xml:space="preserve">τ=1</t>
    </r>
  </si>
  <si>
    <r>
      <rPr>
        <sz val="11"/>
        <rFont val="Noto Sans CJK SC"/>
        <family val="2"/>
      </rPr>
      <t xml:space="preserve">代表解偏向低速档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低能耗 → </t>
    </r>
    <r>
      <rPr>
        <sz val="11"/>
        <rFont val="等线"/>
        <family val="0"/>
        <charset val="1"/>
      </rPr>
      <t xml:space="preserve">C_max</t>
    </r>
    <r>
      <rPr>
        <sz val="11"/>
        <rFont val="Noto Sans CJK SC"/>
        <family val="2"/>
      </rPr>
      <t xml:space="preserve">与</t>
    </r>
    <r>
      <rPr>
        <sz val="11"/>
        <rFont val="等线"/>
        <family val="0"/>
        <charset val="1"/>
      </rPr>
      <t xml:space="preserve">OT</t>
    </r>
    <r>
      <rPr>
        <sz val="11"/>
        <rFont val="Noto Sans CJK SC"/>
        <family val="2"/>
      </rPr>
      <t xml:space="preserve">上升、</t>
    </r>
    <r>
      <rPr>
        <sz val="11"/>
        <rFont val="等线"/>
        <family val="0"/>
        <charset val="1"/>
      </rPr>
      <t xml:space="preserve">E</t>
    </r>
    <r>
      <rPr>
        <sz val="11"/>
        <rFont val="Noto Sans CJK SC"/>
        <family val="2"/>
      </rPr>
      <t xml:space="preserve">下降 → </t>
    </r>
    <r>
      <rPr>
        <sz val="11"/>
        <rFont val="等线"/>
        <family val="0"/>
        <charset val="1"/>
      </rPr>
      <t xml:space="preserve">κ_C·OT</t>
    </r>
    <r>
      <rPr>
        <sz val="11"/>
        <rFont val="Noto Sans CJK SC"/>
        <family val="2"/>
      </rPr>
      <t xml:space="preserve">项增大 → </t>
    </r>
    <r>
      <rPr>
        <sz val="11"/>
        <rFont val="等线"/>
        <family val="0"/>
        <charset val="1"/>
      </rPr>
      <t xml:space="preserve">Δc^(1)</t>
    </r>
    <r>
      <rPr>
        <sz val="11"/>
        <rFont val="Noto Sans CJK SC"/>
        <family val="2"/>
      </rPr>
      <t xml:space="preserve">增强、计划层移出量增大；验证</t>
    </r>
    <r>
      <rPr>
        <sz val="11"/>
        <rFont val="等线"/>
        <family val="0"/>
        <charset val="1"/>
      </rPr>
      <t xml:space="preserve">5.3.2</t>
    </r>
    <r>
      <rPr>
        <sz val="11"/>
        <rFont val="Noto Sans CJK SC"/>
        <family val="2"/>
      </rPr>
      <t xml:space="preserve">节权重→反馈强度传导路径</t>
    </r>
  </si>
  <si>
    <r>
      <rPr>
        <sz val="11"/>
        <rFont val="等线"/>
        <family val="0"/>
        <charset val="1"/>
      </rPr>
      <t xml:space="preserve">V5 </t>
    </r>
    <r>
      <rPr>
        <sz val="11"/>
        <rFont val="Noto Sans CJK SC"/>
        <family val="2"/>
      </rPr>
      <t xml:space="preserve">全通道消融预演</t>
    </r>
  </si>
  <si>
    <r>
      <rPr>
        <sz val="11"/>
        <rFont val="等线"/>
        <family val="0"/>
        <charset val="1"/>
      </rPr>
      <t xml:space="preserve">A1=</t>
    </r>
    <r>
      <rPr>
        <sz val="11"/>
        <rFont val="Noto Sans CJK SC"/>
        <family val="2"/>
      </rPr>
      <t xml:space="preserve">分步式</t>
    </r>
    <r>
      <rPr>
        <sz val="11"/>
        <rFont val="等线"/>
        <family val="0"/>
        <charset val="1"/>
      </rPr>
      <t xml:space="preserve">(</t>
    </r>
    <r>
      <rPr>
        <sz val="11"/>
        <rFont val="Noto Sans CJK SC"/>
        <family val="2"/>
      </rPr>
      <t xml:space="preserve">仅</t>
    </r>
    <r>
      <rPr>
        <sz val="11"/>
        <rFont val="等线"/>
        <family val="0"/>
        <charset val="1"/>
      </rPr>
      <t xml:space="preserve">k=0</t>
    </r>
    <r>
      <rPr>
        <sz val="11"/>
        <rFont val="Noto Sans CJK SC"/>
        <family val="2"/>
      </rPr>
      <t xml:space="preserve">冻结不反馈</t>
    </r>
    <r>
      <rPr>
        <sz val="11"/>
        <rFont val="等线"/>
        <family val="0"/>
        <charset val="1"/>
      </rPr>
      <t xml:space="preserve">)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A2=</t>
    </r>
    <r>
      <rPr>
        <sz val="11"/>
        <rFont val="Noto Sans CJK SC"/>
        <family val="2"/>
      </rPr>
      <t xml:space="preserve">仅通道</t>
    </r>
    <r>
      <rPr>
        <sz val="11"/>
        <rFont val="等线"/>
        <family val="0"/>
        <charset val="1"/>
      </rPr>
      <t xml:space="preserve">1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A3=</t>
    </r>
    <r>
      <rPr>
        <sz val="11"/>
        <rFont val="Noto Sans CJK SC"/>
        <family val="2"/>
      </rPr>
      <t xml:space="preserve">完整三通道，跑完</t>
    </r>
    <r>
      <rPr>
        <sz val="11"/>
        <rFont val="等线"/>
        <family val="0"/>
        <charset val="1"/>
      </rPr>
      <t xml:space="preserve">4</t>
    </r>
    <r>
      <rPr>
        <sz val="11"/>
        <rFont val="Noto Sans CJK SC"/>
        <family val="2"/>
      </rPr>
      <t xml:space="preserve">周期比较总成本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延期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加班</t>
    </r>
  </si>
  <si>
    <r>
      <rPr>
        <sz val="11"/>
        <rFont val="Noto Sans CJK SC"/>
        <family val="2"/>
      </rPr>
      <t xml:space="preserve">预期</t>
    </r>
    <r>
      <rPr>
        <sz val="11"/>
        <rFont val="等线"/>
        <family val="0"/>
        <charset val="1"/>
      </rPr>
      <t xml:space="preserve">A3</t>
    </r>
    <r>
      <rPr>
        <sz val="11"/>
        <rFont val="Noto Sans CJK SC"/>
        <family val="2"/>
      </rPr>
      <t xml:space="preserve">优于</t>
    </r>
    <r>
      <rPr>
        <sz val="11"/>
        <rFont val="等线"/>
        <family val="0"/>
        <charset val="1"/>
      </rPr>
      <t xml:space="preserve">A2</t>
    </r>
    <r>
      <rPr>
        <sz val="11"/>
        <rFont val="Noto Sans CJK SC"/>
        <family val="2"/>
      </rPr>
      <t xml:space="preserve">优于</t>
    </r>
    <r>
      <rPr>
        <sz val="11"/>
        <rFont val="等线"/>
        <family val="0"/>
        <charset val="1"/>
      </rPr>
      <t xml:space="preserve">A1</t>
    </r>
    <r>
      <rPr>
        <sz val="11"/>
        <rFont val="Noto Sans CJK SC"/>
        <family val="2"/>
      </rPr>
      <t xml:space="preserve">；为第</t>
    </r>
    <r>
      <rPr>
        <sz val="11"/>
        <rFont val="等线"/>
        <family val="0"/>
        <charset val="1"/>
      </rPr>
      <t xml:space="preserve">5</t>
    </r>
    <r>
      <rPr>
        <sz val="11"/>
        <rFont val="Noto Sans CJK SC"/>
        <family val="2"/>
      </rPr>
      <t xml:space="preserve">章主对比实验</t>
    </r>
    <r>
      <rPr>
        <sz val="11"/>
        <rFont val="等线"/>
        <family val="0"/>
        <charset val="1"/>
      </rPr>
      <t xml:space="preserve">(5.5</t>
    </r>
    <r>
      <rPr>
        <sz val="11"/>
        <rFont val="Noto Sans CJK SC"/>
        <family val="2"/>
      </rPr>
      <t xml:space="preserve">节</t>
    </r>
    <r>
      <rPr>
        <sz val="11"/>
        <rFont val="等线"/>
        <family val="0"/>
        <charset val="1"/>
      </rPr>
      <t xml:space="preserve">)</t>
    </r>
    <r>
      <rPr>
        <sz val="11"/>
        <rFont val="Noto Sans CJK SC"/>
        <family val="2"/>
      </rPr>
      <t xml:space="preserve">的流程预演，指标含总成本、</t>
    </r>
    <r>
      <rPr>
        <sz val="11"/>
        <rFont val="等线"/>
        <family val="0"/>
        <charset val="1"/>
      </rPr>
      <t xml:space="preserve">ΣBack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ΣOT</t>
    </r>
    <r>
      <rPr>
        <sz val="11"/>
        <rFont val="Noto Sans CJK SC"/>
        <family val="2"/>
      </rPr>
      <t xml:space="preserve">、收敛轮数</t>
    </r>
    <r>
      <rPr>
        <sz val="11"/>
        <rFont val="等线"/>
        <family val="0"/>
        <charset val="1"/>
      </rPr>
      <t xml:space="preserve">N_conv</t>
    </r>
  </si>
  <si>
    <r>
      <rPr>
        <b val="true"/>
        <sz val="12"/>
        <rFont val="等线"/>
        <family val="0"/>
        <charset val="1"/>
      </rPr>
      <t xml:space="preserve">P1</t>
    </r>
    <r>
      <rPr>
        <b val="true"/>
        <sz val="12"/>
        <rFont val="Noto Sans CJK SC"/>
        <family val="2"/>
      </rPr>
      <t xml:space="preserve">：割生成三步判据的一处执行歧义（本算例特意构造以暴露，编码前先定规则）</t>
    </r>
  </si>
  <si>
    <t xml:space="preserve">【现象】</t>
  </si>
  <si>
    <r>
      <rPr>
        <sz val="11"/>
        <rFont val="Noto Sans CJK SC"/>
        <family val="2"/>
      </rPr>
      <t xml:space="preserve">按</t>
    </r>
    <r>
      <rPr>
        <sz val="11"/>
        <rFont val="等线"/>
        <family val="0"/>
        <charset val="1"/>
      </rPr>
      <t xml:space="preserve">5.2.1</t>
    </r>
    <r>
      <rPr>
        <sz val="11"/>
        <rFont val="Noto Sans CJK SC"/>
        <family val="2"/>
      </rPr>
      <t xml:space="preserve">三步判据字面执行，</t>
    </r>
    <r>
      <rPr>
        <sz val="11"/>
        <rFont val="等线"/>
        <family val="0"/>
        <charset val="1"/>
      </rPr>
      <t xml:space="preserve">τ=1,k=0</t>
    </r>
    <r>
      <rPr>
        <sz val="11"/>
        <rFont val="Noto Sans CJK SC"/>
        <family val="2"/>
      </rPr>
      <t xml:space="preserve">同样满足全部三步：①</t>
    </r>
    <r>
      <rPr>
        <sz val="11"/>
        <rFont val="等线"/>
        <family val="0"/>
        <charset val="1"/>
      </rPr>
      <t xml:space="preserve">3</t>
    </r>
    <r>
      <rPr>
        <sz val="11"/>
        <rFont val="Noto Sans CJK SC"/>
        <family val="2"/>
      </rPr>
      <t xml:space="preserve">次重启</t>
    </r>
    <r>
      <rPr>
        <sz val="11"/>
        <rFont val="等线"/>
        <family val="0"/>
        <charset val="1"/>
      </rPr>
      <t xml:space="preserve">Feas=0</t>
    </r>
    <r>
      <rPr>
        <sz val="11"/>
        <rFont val="Noto Sans CJK SC"/>
        <family val="2"/>
      </rPr>
      <t xml:space="preserve">；②阶段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负荷</t>
    </r>
    <r>
      <rPr>
        <sz val="11"/>
        <rFont val="等线"/>
        <family val="0"/>
        <charset val="1"/>
      </rPr>
      <t xml:space="preserve">465≤Cap^eff,(0)=480</t>
    </r>
    <r>
      <rPr>
        <sz val="11"/>
        <rFont val="Noto Sans CJK SC"/>
        <family val="2"/>
      </rPr>
      <t xml:space="preserve">，负荷排除不触发；③移除任一产品后均可行 → 将生成过强割</t>
    </r>
    <r>
      <rPr>
        <sz val="11"/>
        <rFont val="等线"/>
        <family val="0"/>
        <charset val="1"/>
      </rPr>
      <t xml:space="preserve">C={A,B,C}</t>
    </r>
    <r>
      <rPr>
        <sz val="11"/>
        <rFont val="Noto Sans CJK SC"/>
        <family val="2"/>
      </rPr>
      <t xml:space="preserve">，迫使某产品整体退出</t>
    </r>
    <r>
      <rPr>
        <sz val="11"/>
        <rFont val="等线"/>
        <family val="0"/>
        <charset val="1"/>
      </rPr>
      <t xml:space="preserve">t=1</t>
    </r>
    <r>
      <rPr>
        <sz val="11"/>
        <rFont val="Noto Sans CJK SC"/>
        <family val="2"/>
      </rPr>
      <t xml:space="preserve">。但</t>
    </r>
    <r>
      <rPr>
        <sz val="11"/>
        <rFont val="等线"/>
        <family val="0"/>
        <charset val="1"/>
      </rPr>
      <t xml:space="preserve">τ=1</t>
    </r>
    <r>
      <rPr>
        <sz val="11"/>
        <rFont val="Noto Sans CJK SC"/>
        <family val="2"/>
      </rPr>
      <t xml:space="preserve">的真实成因是</t>
    </r>
    <r>
      <rPr>
        <sz val="11"/>
        <rFont val="等线"/>
        <family val="0"/>
        <charset val="1"/>
      </rPr>
      <t xml:space="preserve">SDST</t>
    </r>
    <r>
      <rPr>
        <sz val="11"/>
        <rFont val="Noto Sans CJK SC"/>
        <family val="2"/>
      </rPr>
      <t xml:space="preserve">加班（</t>
    </r>
    <r>
      <rPr>
        <sz val="11"/>
        <rFont val="等线"/>
        <family val="0"/>
        <charset val="1"/>
      </rPr>
      <t xml:space="preserve">OT≈60</t>
    </r>
    <r>
      <rPr>
        <sz val="11"/>
        <rFont val="Noto Sans CJK SC"/>
        <family val="2"/>
      </rPr>
      <t xml:space="preserve">可在加班上限内消化），正文明确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加班时间过高…改由</t>
    </r>
    <r>
      <rPr>
        <sz val="11"/>
        <rFont val="等线"/>
        <family val="0"/>
        <charset val="1"/>
      </rPr>
      <t xml:space="preserve">Δc</t>
    </r>
    <r>
      <rPr>
        <sz val="11"/>
        <rFont val="Noto Sans CJK SC"/>
        <family val="2"/>
      </rPr>
      <t xml:space="preserve">上调或</t>
    </r>
    <r>
      <rPr>
        <sz val="11"/>
        <rFont val="等线"/>
        <family val="0"/>
        <charset val="1"/>
      </rPr>
      <t xml:space="preserve">Cap^eff</t>
    </r>
    <r>
      <rPr>
        <sz val="11"/>
        <rFont val="Noto Sans CJK SC"/>
        <family val="2"/>
      </rPr>
      <t xml:space="preserve">下调，不新增割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，二者意图冲突。</t>
    </r>
  </si>
  <si>
    <t xml:space="preserve">【建议实现规则】</t>
  </si>
  <si>
    <r>
      <rPr>
        <sz val="11"/>
        <rFont val="Noto Sans CJK SC"/>
        <family val="2"/>
      </rPr>
      <t xml:space="preserve">在判据②与③之间增加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加班型排除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：若</t>
    </r>
    <r>
      <rPr>
        <sz val="11"/>
        <rFont val="等线"/>
        <family val="0"/>
        <charset val="1"/>
      </rPr>
      <t xml:space="preserve">OT^{*,(k)}≤OT_τ^max</t>
    </r>
    <r>
      <rPr>
        <sz val="11"/>
        <rFont val="Noto Sans CJK SC"/>
        <family val="2"/>
      </rPr>
      <t xml:space="preserve">（等价于</t>
    </r>
    <r>
      <rPr>
        <sz val="11"/>
        <rFont val="等线"/>
        <family val="0"/>
        <charset val="1"/>
      </rPr>
      <t xml:space="preserve">ρ^{*,(k)}&gt;0</t>
    </r>
    <r>
      <rPr>
        <sz val="11"/>
        <rFont val="Noto Sans CJK SC"/>
        <family val="2"/>
      </rPr>
      <t xml:space="preserve">），判为负荷</t>
    </r>
    <r>
      <rPr>
        <sz val="11"/>
        <rFont val="等线"/>
        <family val="0"/>
        <charset val="1"/>
      </rPr>
      <t xml:space="preserve">/</t>
    </r>
    <r>
      <rPr>
        <sz val="11"/>
        <rFont val="Noto Sans CJK SC"/>
        <family val="2"/>
      </rPr>
      <t xml:space="preserve">加班型，仅走通道</t>
    </r>
    <r>
      <rPr>
        <sz val="11"/>
        <rFont val="等线"/>
        <family val="0"/>
        <charset val="1"/>
      </rPr>
      <t xml:space="preserve">1</t>
    </r>
    <r>
      <rPr>
        <sz val="11"/>
        <rFont val="Noto Sans CJK SC"/>
        <family val="2"/>
      </rPr>
      <t xml:space="preserve">、</t>
    </r>
    <r>
      <rPr>
        <sz val="11"/>
        <rFont val="等线"/>
        <family val="0"/>
        <charset val="1"/>
      </rPr>
      <t xml:space="preserve">2</t>
    </r>
    <r>
      <rPr>
        <sz val="11"/>
        <rFont val="Noto Sans CJK SC"/>
        <family val="2"/>
      </rPr>
      <t xml:space="preserve">，不进入单产品移除测试；仅当</t>
    </r>
    <r>
      <rPr>
        <sz val="11"/>
        <rFont val="等线"/>
        <family val="0"/>
        <charset val="1"/>
      </rPr>
      <t xml:space="preserve">OT&gt;OT^max</t>
    </r>
    <r>
      <rPr>
        <sz val="11"/>
        <rFont val="Noto Sans CJK SC"/>
        <family val="2"/>
      </rPr>
      <t xml:space="preserve">（</t>
    </r>
    <r>
      <rPr>
        <sz val="11"/>
        <rFont val="等线"/>
        <family val="0"/>
        <charset val="1"/>
      </rPr>
      <t xml:space="preserve">ρ=0</t>
    </r>
    <r>
      <rPr>
        <sz val="11"/>
        <rFont val="Noto Sans CJK SC"/>
        <family val="2"/>
      </rPr>
      <t xml:space="preserve">，加班上限内不可消化）才进入③。</t>
    </r>
  </si>
  <si>
    <t xml:space="preserve">【该规则下的算例行为】</t>
  </si>
  <si>
    <r>
      <rPr>
        <sz val="11"/>
        <rFont val="等线"/>
        <family val="0"/>
        <charset val="1"/>
      </rPr>
      <t xml:space="preserve">τ=1</t>
    </r>
    <r>
      <rPr>
        <sz val="11"/>
        <rFont val="Noto Sans CJK SC"/>
        <family val="2"/>
      </rPr>
      <t xml:space="preserve">：</t>
    </r>
    <r>
      <rPr>
        <sz val="11"/>
        <rFont val="等线"/>
        <family val="0"/>
        <charset val="1"/>
      </rPr>
      <t xml:space="preserve">OT≈60≤120 → </t>
    </r>
    <r>
      <rPr>
        <sz val="11"/>
        <rFont val="Noto Sans CJK SC"/>
        <family val="2"/>
      </rPr>
      <t xml:space="preserve">排除 → 仅通道</t>
    </r>
    <r>
      <rPr>
        <sz val="11"/>
        <rFont val="等线"/>
        <family val="0"/>
        <charset val="1"/>
      </rPr>
      <t xml:space="preserve">1+2 ✓</t>
    </r>
    <r>
      <rPr>
        <sz val="11"/>
        <rFont val="Noto Sans CJK SC"/>
        <family val="2"/>
      </rPr>
      <t xml:space="preserve">（与正文意图一致）；</t>
    </r>
    <r>
      <rPr>
        <sz val="11"/>
        <rFont val="等线"/>
        <family val="0"/>
        <charset val="1"/>
      </rPr>
      <t xml:space="preserve">τ=3</t>
    </r>
    <r>
      <rPr>
        <sz val="11"/>
        <rFont val="Noto Sans CJK SC"/>
        <family val="2"/>
      </rPr>
      <t xml:space="preserve">：</t>
    </r>
    <r>
      <rPr>
        <sz val="11"/>
        <rFont val="等线"/>
        <family val="0"/>
        <charset val="1"/>
      </rPr>
      <t xml:space="preserve">OT≥154&gt;120 → </t>
    </r>
    <r>
      <rPr>
        <sz val="11"/>
        <rFont val="Noto Sans CJK SC"/>
        <family val="2"/>
      </rPr>
      <t xml:space="preserve">进入③ → 生成割</t>
    </r>
    <r>
      <rPr>
        <sz val="11"/>
        <rFont val="等线"/>
        <family val="0"/>
        <charset val="1"/>
      </rPr>
      <t xml:space="preserve">{B,C} ✓</t>
    </r>
    <r>
      <rPr>
        <sz val="11"/>
        <rFont val="Noto Sans CJK SC"/>
        <family val="2"/>
      </rPr>
      <t xml:space="preserve">。两个周期行为分离，正是本算例的设计目的。</t>
    </r>
  </si>
  <si>
    <t xml:space="preserve">【回写建议】</t>
  </si>
  <si>
    <r>
      <rPr>
        <sz val="11"/>
        <rFont val="Noto Sans CJK SC"/>
        <family val="2"/>
      </rPr>
      <t xml:space="preserve">数值验证确认该规则后，在论文</t>
    </r>
    <r>
      <rPr>
        <sz val="11"/>
        <rFont val="等线"/>
        <family val="0"/>
        <charset val="1"/>
      </rPr>
      <t xml:space="preserve">5.2.1</t>
    </r>
    <r>
      <rPr>
        <sz val="11"/>
        <rFont val="Noto Sans CJK SC"/>
        <family val="2"/>
      </rPr>
      <t xml:space="preserve">节判据②末尾补一句（约</t>
    </r>
    <r>
      <rPr>
        <sz val="11"/>
        <rFont val="等线"/>
        <family val="0"/>
        <charset val="1"/>
      </rPr>
      <t xml:space="preserve">30</t>
    </r>
    <r>
      <rPr>
        <sz val="11"/>
        <rFont val="Noto Sans CJK SC"/>
        <family val="2"/>
      </rPr>
      <t xml:space="preserve">字）：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若</t>
    </r>
    <r>
      <rPr>
        <sz val="11"/>
        <rFont val="等线"/>
        <family val="0"/>
        <charset val="1"/>
      </rPr>
      <t xml:space="preserve">OT^{*,(k)}≤OT_τ^max</t>
    </r>
    <r>
      <rPr>
        <sz val="11"/>
        <rFont val="Noto Sans CJK SC"/>
        <family val="2"/>
      </rPr>
      <t xml:space="preserve">，亦判为加班型，不进入移除测试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，使正文可计算判据与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加班型不生成割</t>
    </r>
    <r>
      <rPr>
        <sz val="11"/>
        <rFont val="等线"/>
        <family val="0"/>
        <charset val="1"/>
      </rPr>
      <t xml:space="preserve">"</t>
    </r>
    <r>
      <rPr>
        <sz val="11"/>
        <rFont val="Noto Sans CJK SC"/>
        <family val="2"/>
      </rPr>
      <t xml:space="preserve">的既有表述完全闭合。先验证、后回写，不要现在改正文。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</si>
</sst>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等线"/>
      <family val="0"/>
      <charset val="1"/>
    </font>
    <font>
      <sz val="11"/>
      <name val="等线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等线"/>
      <family val="0"/>
      <charset val="1"/>
    </font>
    <font>
      <sz val="11"/>
      <color rgb="FF0000FF"/>
      <name val="等线"/>
      <family val="0"/>
      <charset val="1"/>
    </font>
    <font>
      <sz val="11"/>
      <color rgb="FF0000FF"/>
      <name val="Noto Sans CJK SC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等线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8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18" hidden="false" customHeight="true" outlineLevel="0" collapsed="false">
      <c r="A4" s="4" t="s">
        <v>2</v>
      </c>
    </row>
    <row r="5" customFormat="false" ht="18" hidden="false" customHeight="true" outlineLevel="0" collapsed="false">
      <c r="A5" s="2" t="s">
        <v>3</v>
      </c>
    </row>
    <row r="6" customFormat="false" ht="18" hidden="false" customHeight="true" outlineLevel="0" collapsed="false">
      <c r="A6" s="2" t="s">
        <v>4</v>
      </c>
    </row>
    <row r="7" customFormat="false" ht="18" hidden="false" customHeight="true" outlineLevel="0" collapsed="false">
      <c r="A7" s="2" t="s">
        <v>5</v>
      </c>
    </row>
    <row r="8" customFormat="false" ht="18" hidden="false" customHeight="true" outlineLevel="0" collapsed="false">
      <c r="A8" s="2" t="s">
        <v>6</v>
      </c>
    </row>
    <row r="9" customFormat="false" ht="18" hidden="false" customHeight="true" outlineLevel="0" collapsed="false">
      <c r="A9" s="4" t="s">
        <v>7</v>
      </c>
    </row>
    <row r="10" customFormat="false" ht="18" hidden="false" customHeight="true" outlineLevel="0" collapsed="false">
      <c r="A10" s="2"/>
    </row>
    <row r="11" customFormat="false" ht="18" hidden="false" customHeight="true" outlineLevel="0" collapsed="false">
      <c r="A11" s="3" t="s">
        <v>8</v>
      </c>
    </row>
    <row r="12" customFormat="false" ht="18" hidden="false" customHeight="true" outlineLevel="0" collapsed="false">
      <c r="A12" s="4" t="s">
        <v>9</v>
      </c>
    </row>
    <row r="13" customFormat="false" ht="18" hidden="false" customHeight="true" outlineLevel="0" collapsed="false">
      <c r="A13" s="4" t="s">
        <v>10</v>
      </c>
    </row>
    <row r="14" customFormat="false" ht="18" hidden="false" customHeight="true" outlineLevel="0" collapsed="false">
      <c r="A14" s="2"/>
    </row>
    <row r="15" customFormat="false" ht="18" hidden="false" customHeight="true" outlineLevel="0" collapsed="false">
      <c r="A15" s="3" t="s">
        <v>11</v>
      </c>
    </row>
    <row r="16" customFormat="false" ht="18" hidden="false" customHeight="true" outlineLevel="0" collapsed="false">
      <c r="A16" s="4" t="s">
        <v>12</v>
      </c>
    </row>
    <row r="17" customFormat="false" ht="18" hidden="false" customHeight="true" outlineLevel="0" collapsed="false">
      <c r="A17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" t="s">
        <v>14</v>
      </c>
    </row>
    <row r="2" customFormat="false" ht="17.15" hidden="false" customHeight="false" outlineLevel="0" collapsed="false">
      <c r="A2" s="5" t="s">
        <v>15</v>
      </c>
      <c r="B2" s="5" t="s">
        <v>16</v>
      </c>
      <c r="C2" s="5" t="s">
        <v>17</v>
      </c>
      <c r="D2" s="5" t="s">
        <v>18</v>
      </c>
    </row>
    <row r="3" customFormat="false" ht="17.15" hidden="false" customHeight="false" outlineLevel="0" collapsed="false">
      <c r="A3" s="6" t="s">
        <v>19</v>
      </c>
      <c r="B3" s="7" t="s">
        <v>20</v>
      </c>
      <c r="C3" s="8" t="s">
        <v>21</v>
      </c>
      <c r="D3" s="7" t="s">
        <v>22</v>
      </c>
    </row>
    <row r="4" customFormat="false" ht="17.15" hidden="false" customHeight="false" outlineLevel="0" collapsed="false">
      <c r="A4" s="6" t="s">
        <v>23</v>
      </c>
      <c r="B4" s="7" t="s">
        <v>24</v>
      </c>
      <c r="C4" s="8" t="s">
        <v>25</v>
      </c>
      <c r="D4" s="6" t="s">
        <v>26</v>
      </c>
    </row>
    <row r="5" customFormat="false" ht="28.35" hidden="false" customHeight="false" outlineLevel="0" collapsed="false">
      <c r="A5" s="6" t="s">
        <v>27</v>
      </c>
      <c r="B5" s="7" t="s">
        <v>28</v>
      </c>
      <c r="C5" s="8" t="s">
        <v>29</v>
      </c>
      <c r="D5" s="7" t="s">
        <v>30</v>
      </c>
    </row>
    <row r="6" customFormat="false" ht="17.15" hidden="false" customHeight="false" outlineLevel="0" collapsed="false">
      <c r="A6" s="6" t="s">
        <v>31</v>
      </c>
      <c r="B6" s="7" t="s">
        <v>32</v>
      </c>
      <c r="C6" s="8" t="s">
        <v>33</v>
      </c>
      <c r="D6" s="6" t="s">
        <v>34</v>
      </c>
    </row>
    <row r="7" customFormat="false" ht="17.15" hidden="false" customHeight="false" outlineLevel="0" collapsed="false">
      <c r="A7" s="6" t="s">
        <v>35</v>
      </c>
      <c r="B7" s="7" t="s">
        <v>36</v>
      </c>
      <c r="C7" s="8" t="s">
        <v>37</v>
      </c>
      <c r="D7" s="6" t="s">
        <v>38</v>
      </c>
    </row>
    <row r="8" customFormat="false" ht="17.15" hidden="false" customHeight="false" outlineLevel="0" collapsed="false">
      <c r="A8" s="6" t="s">
        <v>39</v>
      </c>
      <c r="B8" s="7" t="s">
        <v>40</v>
      </c>
      <c r="C8" s="8" t="s">
        <v>41</v>
      </c>
      <c r="D8" s="6" t="s">
        <v>42</v>
      </c>
    </row>
    <row r="9" customFormat="false" ht="17.15" hidden="false" customHeight="false" outlineLevel="0" collapsed="false">
      <c r="A9" s="6" t="s">
        <v>43</v>
      </c>
      <c r="B9" s="7" t="s">
        <v>44</v>
      </c>
      <c r="C9" s="8" t="n">
        <v>4</v>
      </c>
      <c r="D9" s="6" t="s">
        <v>45</v>
      </c>
    </row>
    <row r="10" customFormat="false" ht="17.15" hidden="false" customHeight="false" outlineLevel="0" collapsed="false">
      <c r="A10" s="6" t="s">
        <v>46</v>
      </c>
      <c r="B10" s="7" t="s">
        <v>47</v>
      </c>
      <c r="C10" s="8" t="n">
        <v>3</v>
      </c>
      <c r="D10" s="6" t="s">
        <v>48</v>
      </c>
    </row>
    <row r="11" customFormat="false" ht="17.15" hidden="false" customHeight="false" outlineLevel="0" collapsed="false">
      <c r="A11" s="6" t="s">
        <v>49</v>
      </c>
      <c r="B11" s="7" t="s">
        <v>50</v>
      </c>
      <c r="C11" s="8" t="n">
        <v>1</v>
      </c>
      <c r="D11" s="6" t="s">
        <v>42</v>
      </c>
    </row>
    <row r="12" customFormat="false" ht="17.15" hidden="false" customHeight="false" outlineLevel="0" collapsed="false">
      <c r="A12" s="6" t="s">
        <v>51</v>
      </c>
      <c r="B12" s="7" t="s">
        <v>52</v>
      </c>
      <c r="C12" s="8" t="n">
        <v>480</v>
      </c>
      <c r="D12" s="6" t="s">
        <v>53</v>
      </c>
    </row>
    <row r="13" customFormat="false" ht="17.15" hidden="false" customHeight="false" outlineLevel="0" collapsed="false">
      <c r="A13" s="6" t="s">
        <v>54</v>
      </c>
      <c r="B13" s="7" t="s">
        <v>55</v>
      </c>
      <c r="C13" s="8" t="n">
        <v>120</v>
      </c>
      <c r="D13" s="6" t="s">
        <v>45</v>
      </c>
    </row>
    <row r="14" customFormat="false" ht="17.15" hidden="false" customHeight="false" outlineLevel="0" collapsed="false">
      <c r="A14" s="6" t="s">
        <v>56</v>
      </c>
      <c r="B14" s="7" t="s">
        <v>57</v>
      </c>
      <c r="C14" s="8" t="n">
        <v>5</v>
      </c>
      <c r="D14" s="6" t="s">
        <v>58</v>
      </c>
    </row>
    <row r="16" customFormat="false" ht="15" hidden="false" customHeight="false" outlineLevel="0" collapsed="false">
      <c r="A16" s="1" t="s">
        <v>59</v>
      </c>
    </row>
    <row r="17" customFormat="false" ht="17.15" hidden="false" customHeight="false" outlineLevel="0" collapsed="false">
      <c r="A17" s="5" t="s">
        <v>15</v>
      </c>
      <c r="B17" s="5" t="s">
        <v>16</v>
      </c>
      <c r="C17" s="5" t="s">
        <v>17</v>
      </c>
      <c r="D17" s="5" t="s">
        <v>18</v>
      </c>
    </row>
    <row r="18" customFormat="false" ht="17.15" hidden="false" customHeight="false" outlineLevel="0" collapsed="false">
      <c r="A18" s="6" t="s">
        <v>60</v>
      </c>
      <c r="B18" s="7" t="s">
        <v>61</v>
      </c>
      <c r="C18" s="8" t="s">
        <v>62</v>
      </c>
      <c r="D18" s="6" t="s">
        <v>63</v>
      </c>
    </row>
    <row r="19" customFormat="false" ht="17.15" hidden="false" customHeight="false" outlineLevel="0" collapsed="false">
      <c r="A19" s="6" t="s">
        <v>64</v>
      </c>
      <c r="B19" s="7" t="s">
        <v>65</v>
      </c>
      <c r="C19" s="8" t="n">
        <v>0.5</v>
      </c>
      <c r="D19" s="6" t="s">
        <v>66</v>
      </c>
    </row>
    <row r="20" customFormat="false" ht="17.15" hidden="false" customHeight="false" outlineLevel="0" collapsed="false">
      <c r="A20" s="6" t="s">
        <v>67</v>
      </c>
      <c r="B20" s="7" t="s">
        <v>68</v>
      </c>
      <c r="C20" s="8" t="n">
        <v>1</v>
      </c>
      <c r="D20" s="6" t="s">
        <v>69</v>
      </c>
    </row>
    <row r="21" customFormat="false" ht="17.15" hidden="false" customHeight="false" outlineLevel="0" collapsed="false">
      <c r="A21" s="6" t="s">
        <v>70</v>
      </c>
      <c r="B21" s="7" t="s">
        <v>71</v>
      </c>
      <c r="C21" s="8" t="n">
        <v>3</v>
      </c>
      <c r="D21" s="6" t="s">
        <v>66</v>
      </c>
    </row>
    <row r="22" customFormat="false" ht="17.15" hidden="false" customHeight="false" outlineLevel="0" collapsed="false">
      <c r="A22" s="6" t="s">
        <v>72</v>
      </c>
      <c r="B22" s="7" t="s">
        <v>73</v>
      </c>
      <c r="C22" s="8" t="n">
        <v>2</v>
      </c>
      <c r="D22" s="6" t="s">
        <v>74</v>
      </c>
    </row>
    <row r="23" customFormat="false" ht="30.55" hidden="false" customHeight="false" outlineLevel="0" collapsed="false">
      <c r="A23" s="6" t="s">
        <v>75</v>
      </c>
      <c r="B23" s="7" t="s">
        <v>76</v>
      </c>
      <c r="C23" s="8" t="n">
        <v>1</v>
      </c>
      <c r="D23" s="6" t="s">
        <v>77</v>
      </c>
    </row>
    <row r="24" customFormat="false" ht="30.55" hidden="false" customHeight="false" outlineLevel="0" collapsed="false">
      <c r="A24" s="6" t="s">
        <v>78</v>
      </c>
      <c r="B24" s="7" t="s">
        <v>79</v>
      </c>
      <c r="C24" s="8" t="n">
        <v>0.05</v>
      </c>
      <c r="D24" s="6" t="s">
        <v>80</v>
      </c>
    </row>
    <row r="25" customFormat="false" ht="17.15" hidden="false" customHeight="false" outlineLevel="0" collapsed="false">
      <c r="A25" s="6" t="s">
        <v>81</v>
      </c>
      <c r="B25" s="7" t="s">
        <v>82</v>
      </c>
      <c r="C25" s="8" t="n">
        <v>0.5</v>
      </c>
      <c r="D25" s="6" t="s">
        <v>83</v>
      </c>
    </row>
    <row r="26" customFormat="false" ht="17.15" hidden="false" customHeight="false" outlineLevel="0" collapsed="false">
      <c r="A26" s="6" t="s">
        <v>84</v>
      </c>
      <c r="B26" s="7" t="s">
        <v>85</v>
      </c>
      <c r="C26" s="8" t="n">
        <v>0.8</v>
      </c>
      <c r="D26" s="6" t="s">
        <v>86</v>
      </c>
    </row>
    <row r="27" customFormat="false" ht="17.15" hidden="false" customHeight="false" outlineLevel="0" collapsed="false">
      <c r="A27" s="6" t="s">
        <v>87</v>
      </c>
      <c r="B27" s="7" t="s">
        <v>88</v>
      </c>
      <c r="C27" s="8" t="n">
        <v>0.01</v>
      </c>
      <c r="D27" s="6" t="s">
        <v>45</v>
      </c>
    </row>
    <row r="28" customFormat="false" ht="17.15" hidden="false" customHeight="false" outlineLevel="0" collapsed="false">
      <c r="A28" s="6" t="s">
        <v>89</v>
      </c>
      <c r="B28" s="7" t="s">
        <v>90</v>
      </c>
      <c r="C28" s="8" t="n">
        <v>3</v>
      </c>
      <c r="D28" s="6" t="s">
        <v>45</v>
      </c>
    </row>
    <row r="30" customFormat="false" ht="15" hidden="false" customHeight="false" outlineLevel="0" collapsed="false">
      <c r="A30" s="9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92</v>
      </c>
    </row>
    <row r="2" customFormat="false" ht="17.15" hidden="false" customHeight="false" outlineLevel="0" collapsed="false">
      <c r="A2" s="5" t="s">
        <v>93</v>
      </c>
      <c r="B2" s="5" t="s">
        <v>94</v>
      </c>
      <c r="C2" s="5" t="s">
        <v>95</v>
      </c>
      <c r="D2" s="5" t="s">
        <v>96</v>
      </c>
      <c r="E2" s="5" t="s">
        <v>97</v>
      </c>
      <c r="F2" s="5" t="s">
        <v>98</v>
      </c>
    </row>
    <row r="3" customFormat="false" ht="15" hidden="false" customHeight="false" outlineLevel="0" collapsed="false">
      <c r="A3" s="7" t="s">
        <v>99</v>
      </c>
      <c r="B3" s="8" t="n">
        <v>50</v>
      </c>
      <c r="C3" s="8" t="n">
        <v>2</v>
      </c>
      <c r="D3" s="8" t="n">
        <v>10</v>
      </c>
      <c r="E3" s="8" t="n">
        <v>100</v>
      </c>
      <c r="F3" s="8" t="n">
        <v>4</v>
      </c>
    </row>
    <row r="4" customFormat="false" ht="15" hidden="false" customHeight="false" outlineLevel="0" collapsed="false">
      <c r="A4" s="7" t="s">
        <v>100</v>
      </c>
      <c r="B4" s="8" t="n">
        <v>60</v>
      </c>
      <c r="C4" s="8" t="n">
        <v>2</v>
      </c>
      <c r="D4" s="8" t="n">
        <v>8</v>
      </c>
      <c r="E4" s="8" t="n">
        <v>120</v>
      </c>
      <c r="F4" s="8" t="n">
        <v>4</v>
      </c>
    </row>
    <row r="5" customFormat="false" ht="15" hidden="false" customHeight="false" outlineLevel="0" collapsed="false">
      <c r="A5" s="7" t="s">
        <v>101</v>
      </c>
      <c r="B5" s="8" t="n">
        <v>70</v>
      </c>
      <c r="C5" s="8" t="n">
        <v>3</v>
      </c>
      <c r="D5" s="8" t="n">
        <v>12</v>
      </c>
      <c r="E5" s="8" t="n">
        <v>150</v>
      </c>
      <c r="F5" s="8" t="n">
        <v>5</v>
      </c>
    </row>
    <row r="7" customFormat="false" ht="15" hidden="false" customHeight="false" outlineLevel="0" collapsed="false">
      <c r="A7" s="9" t="s">
        <v>102</v>
      </c>
    </row>
    <row r="9" customFormat="false" ht="19.4" hidden="false" customHeight="false" outlineLevel="0" collapsed="false">
      <c r="A9" s="1" t="s">
        <v>103</v>
      </c>
    </row>
    <row r="10" customFormat="false" ht="17.15" hidden="false" customHeight="false" outlineLevel="0" collapsed="false">
      <c r="A10" s="5" t="s">
        <v>93</v>
      </c>
      <c r="B10" s="10" t="s">
        <v>104</v>
      </c>
      <c r="C10" s="10" t="s">
        <v>105</v>
      </c>
      <c r="D10" s="10" t="s">
        <v>106</v>
      </c>
    </row>
    <row r="11" customFormat="false" ht="15" hidden="false" customHeight="false" outlineLevel="0" collapsed="false">
      <c r="A11" s="7" t="s">
        <v>99</v>
      </c>
      <c r="B11" s="7" t="n">
        <f aca="false">3_调度层数据!B3</f>
        <v>10</v>
      </c>
      <c r="C11" s="7" t="n">
        <f aca="false">3_调度层数据!C3</f>
        <v>15</v>
      </c>
      <c r="D11" s="7" t="n">
        <f aca="false">3_调度层数据!D3</f>
        <v>12</v>
      </c>
    </row>
    <row r="12" customFormat="false" ht="15" hidden="false" customHeight="false" outlineLevel="0" collapsed="false">
      <c r="A12" s="7" t="s">
        <v>100</v>
      </c>
      <c r="B12" s="7" t="n">
        <f aca="false">3_调度层数据!B4</f>
        <v>12</v>
      </c>
      <c r="C12" s="7" t="n">
        <f aca="false">3_调度层数据!C4</f>
        <v>20</v>
      </c>
      <c r="D12" s="7" t="n">
        <f aca="false">3_调度层数据!D4</f>
        <v>10</v>
      </c>
    </row>
    <row r="13" customFormat="false" ht="15" hidden="false" customHeight="false" outlineLevel="0" collapsed="false">
      <c r="A13" s="7" t="s">
        <v>101</v>
      </c>
      <c r="B13" s="7" t="n">
        <f aca="false">3_调度层数据!B5</f>
        <v>8</v>
      </c>
      <c r="C13" s="7" t="n">
        <f aca="false">3_调度层数据!C5</f>
        <v>25</v>
      </c>
      <c r="D13" s="7" t="n">
        <f aca="false">3_调度层数据!D5</f>
        <v>14</v>
      </c>
    </row>
    <row r="15" customFormat="false" ht="19.4" hidden="false" customHeight="false" outlineLevel="0" collapsed="false">
      <c r="A15" s="1" t="s">
        <v>107</v>
      </c>
    </row>
    <row r="16" customFormat="false" ht="17.15" hidden="false" customHeight="false" outlineLevel="0" collapsed="false">
      <c r="A16" s="5" t="s">
        <v>108</v>
      </c>
      <c r="B16" s="5" t="s">
        <v>109</v>
      </c>
      <c r="C16" s="10" t="s">
        <v>110</v>
      </c>
    </row>
    <row r="17" customFormat="false" ht="15" hidden="false" customHeight="false" outlineLevel="0" collapsed="false">
      <c r="A17" s="7" t="s">
        <v>111</v>
      </c>
      <c r="B17" s="8" t="n">
        <v>2</v>
      </c>
      <c r="C17" s="7" t="n">
        <f aca="false">480*B17</f>
        <v>960</v>
      </c>
    </row>
    <row r="18" customFormat="false" ht="15" hidden="false" customHeight="false" outlineLevel="0" collapsed="false">
      <c r="A18" s="7" t="s">
        <v>112</v>
      </c>
      <c r="B18" s="8" t="n">
        <v>1</v>
      </c>
      <c r="C18" s="7" t="n">
        <f aca="false">480*B18</f>
        <v>480</v>
      </c>
    </row>
    <row r="19" customFormat="false" ht="15" hidden="false" customHeight="false" outlineLevel="0" collapsed="false">
      <c r="A19" s="7" t="s">
        <v>113</v>
      </c>
      <c r="B19" s="8" t="n">
        <v>2</v>
      </c>
      <c r="C19" s="7" t="n">
        <f aca="false">480*B19</f>
        <v>960</v>
      </c>
    </row>
    <row r="21" customFormat="false" ht="15" hidden="false" customHeight="false" outlineLevel="0" collapsed="false">
      <c r="A21" s="9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6" min="3" style="0" width="15"/>
  </cols>
  <sheetData>
    <row r="1" customFormat="false" ht="19.4" hidden="false" customHeight="false" outlineLevel="0" collapsed="false">
      <c r="A1" s="1" t="s">
        <v>115</v>
      </c>
    </row>
    <row r="2" customFormat="false" ht="17.15" hidden="false" customHeight="false" outlineLevel="0" collapsed="false">
      <c r="A2" s="5" t="s">
        <v>93</v>
      </c>
      <c r="B2" s="10" t="s">
        <v>104</v>
      </c>
      <c r="C2" s="10" t="s">
        <v>105</v>
      </c>
      <c r="D2" s="10" t="s">
        <v>106</v>
      </c>
    </row>
    <row r="3" customFormat="false" ht="15" hidden="false" customHeight="false" outlineLevel="0" collapsed="false">
      <c r="A3" s="7" t="s">
        <v>99</v>
      </c>
      <c r="B3" s="8" t="n">
        <v>10</v>
      </c>
      <c r="C3" s="8" t="n">
        <v>15</v>
      </c>
      <c r="D3" s="8" t="n">
        <v>12</v>
      </c>
    </row>
    <row r="4" customFormat="false" ht="15" hidden="false" customHeight="false" outlineLevel="0" collapsed="false">
      <c r="A4" s="7" t="s">
        <v>100</v>
      </c>
      <c r="B4" s="8" t="n">
        <v>12</v>
      </c>
      <c r="C4" s="8" t="n">
        <v>20</v>
      </c>
      <c r="D4" s="8" t="n">
        <v>10</v>
      </c>
    </row>
    <row r="5" customFormat="false" ht="15" hidden="false" customHeight="false" outlineLevel="0" collapsed="false">
      <c r="A5" s="7" t="s">
        <v>101</v>
      </c>
      <c r="B5" s="8" t="n">
        <v>8</v>
      </c>
      <c r="C5" s="8" t="n">
        <v>25</v>
      </c>
      <c r="D5" s="8" t="n">
        <v>14</v>
      </c>
    </row>
    <row r="7" customFormat="false" ht="15" hidden="false" customHeight="false" outlineLevel="0" collapsed="false">
      <c r="A7" s="9" t="s">
        <v>116</v>
      </c>
    </row>
    <row r="9" customFormat="false" ht="19.4" hidden="false" customHeight="false" outlineLevel="0" collapsed="false">
      <c r="A9" s="1" t="s">
        <v>117</v>
      </c>
    </row>
    <row r="10" customFormat="false" ht="15" hidden="false" customHeight="false" outlineLevel="0" collapsed="false">
      <c r="A10" s="5" t="s">
        <v>118</v>
      </c>
      <c r="B10" s="10" t="s">
        <v>119</v>
      </c>
      <c r="C10" s="10" t="s">
        <v>120</v>
      </c>
      <c r="D10" s="10" t="s">
        <v>121</v>
      </c>
    </row>
    <row r="11" customFormat="false" ht="17.15" hidden="false" customHeight="false" outlineLevel="0" collapsed="false">
      <c r="A11" s="7" t="s">
        <v>122</v>
      </c>
      <c r="B11" s="8" t="n">
        <v>10</v>
      </c>
      <c r="C11" s="8" t="n">
        <v>10</v>
      </c>
      <c r="D11" s="8" t="n">
        <v>10</v>
      </c>
    </row>
    <row r="12" customFormat="false" ht="15" hidden="false" customHeight="false" outlineLevel="0" collapsed="false">
      <c r="A12" s="7" t="s">
        <v>123</v>
      </c>
      <c r="B12" s="8" t="n">
        <v>0</v>
      </c>
      <c r="C12" s="8" t="n">
        <v>20</v>
      </c>
      <c r="D12" s="8" t="n">
        <v>30</v>
      </c>
    </row>
    <row r="13" customFormat="false" ht="15" hidden="false" customHeight="false" outlineLevel="0" collapsed="false">
      <c r="A13" s="7" t="s">
        <v>124</v>
      </c>
      <c r="B13" s="8" t="n">
        <v>25</v>
      </c>
      <c r="C13" s="8" t="n">
        <v>0</v>
      </c>
      <c r="D13" s="8" t="n">
        <v>280</v>
      </c>
    </row>
    <row r="14" customFormat="false" ht="15" hidden="false" customHeight="false" outlineLevel="0" collapsed="false">
      <c r="A14" s="7" t="s">
        <v>125</v>
      </c>
      <c r="B14" s="8" t="n">
        <v>25</v>
      </c>
      <c r="C14" s="8" t="n">
        <v>280</v>
      </c>
      <c r="D14" s="8" t="n">
        <v>0</v>
      </c>
    </row>
    <row r="16" customFormat="false" ht="15" hidden="false" customHeight="false" outlineLevel="0" collapsed="false">
      <c r="A16" s="9" t="s">
        <v>126</v>
      </c>
    </row>
    <row r="18" customFormat="false" ht="15" hidden="false" customHeight="false" outlineLevel="0" collapsed="false">
      <c r="A18" s="1" t="s">
        <v>127</v>
      </c>
    </row>
    <row r="19" customFormat="false" ht="15" hidden="false" customHeight="false" outlineLevel="0" collapsed="false">
      <c r="A19" s="5" t="s">
        <v>15</v>
      </c>
      <c r="B19" s="5" t="s">
        <v>17</v>
      </c>
      <c r="C19" s="5" t="s">
        <v>128</v>
      </c>
    </row>
    <row r="20" customFormat="false" ht="48.5" hidden="false" customHeight="false" outlineLevel="0" collapsed="false">
      <c r="A20" s="6" t="s">
        <v>129</v>
      </c>
      <c r="B20" s="8" t="s">
        <v>130</v>
      </c>
      <c r="C20" s="6" t="s">
        <v>131</v>
      </c>
    </row>
    <row r="21" customFormat="false" ht="30.55" hidden="false" customHeight="false" outlineLevel="0" collapsed="false">
      <c r="A21" s="6" t="s">
        <v>132</v>
      </c>
      <c r="B21" s="8" t="n">
        <v>2</v>
      </c>
      <c r="C21" s="7" t="s">
        <v>133</v>
      </c>
    </row>
    <row r="22" customFormat="false" ht="30.55" hidden="false" customHeight="false" outlineLevel="0" collapsed="false">
      <c r="A22" s="6" t="s">
        <v>134</v>
      </c>
      <c r="B22" s="8" t="n">
        <v>1</v>
      </c>
      <c r="C22" s="7" t="s">
        <v>133</v>
      </c>
    </row>
    <row r="23" customFormat="false" ht="32.8" hidden="false" customHeight="false" outlineLevel="0" collapsed="false">
      <c r="A23" s="6" t="s">
        <v>135</v>
      </c>
      <c r="B23" s="8" t="n">
        <v>0.1</v>
      </c>
      <c r="C23" s="7" t="s">
        <v>136</v>
      </c>
    </row>
    <row r="24" customFormat="false" ht="32.8" hidden="false" customHeight="false" outlineLevel="0" collapsed="false">
      <c r="A24" s="6" t="s">
        <v>137</v>
      </c>
      <c r="B24" s="8" t="n">
        <v>0.5</v>
      </c>
      <c r="C24" s="7" t="s">
        <v>133</v>
      </c>
    </row>
    <row r="26" customFormat="false" ht="15" hidden="false" customHeight="false" outlineLevel="0" collapsed="false">
      <c r="A26" s="1" t="s">
        <v>138</v>
      </c>
    </row>
    <row r="27" customFormat="false" ht="17.15" hidden="false" customHeight="false" outlineLevel="0" collapsed="false">
      <c r="A27" s="5" t="s">
        <v>139</v>
      </c>
      <c r="B27" s="5" t="s">
        <v>140</v>
      </c>
      <c r="C27" s="10" t="s">
        <v>141</v>
      </c>
      <c r="D27" s="10" t="s">
        <v>142</v>
      </c>
      <c r="E27" s="10" t="s">
        <v>143</v>
      </c>
      <c r="F27" s="10" t="s">
        <v>144</v>
      </c>
    </row>
    <row r="28" customFormat="false" ht="15" hidden="false" customHeight="false" outlineLevel="0" collapsed="false">
      <c r="A28" s="7" t="n">
        <v>1</v>
      </c>
      <c r="B28" s="8" t="n">
        <v>200</v>
      </c>
      <c r="C28" s="8" t="n">
        <v>2</v>
      </c>
      <c r="D28" s="8" t="n">
        <v>2</v>
      </c>
      <c r="E28" s="8" t="n">
        <v>2</v>
      </c>
      <c r="F28" s="8" t="n">
        <v>2</v>
      </c>
    </row>
    <row r="29" customFormat="false" ht="15" hidden="false" customHeight="false" outlineLevel="0" collapsed="false">
      <c r="A29" s="7" t="n">
        <v>2</v>
      </c>
      <c r="B29" s="8" t="n">
        <v>280</v>
      </c>
      <c r="C29" s="8" t="n">
        <v>2</v>
      </c>
      <c r="D29" s="8" t="n">
        <v>2</v>
      </c>
      <c r="E29" s="8" t="n">
        <v>2</v>
      </c>
      <c r="F29" s="8" t="n">
        <v>2</v>
      </c>
    </row>
    <row r="30" customFormat="false" ht="15" hidden="false" customHeight="false" outlineLevel="0" collapsed="false">
      <c r="A30" s="7" t="n">
        <v>3</v>
      </c>
      <c r="B30" s="8" t="n">
        <v>400</v>
      </c>
      <c r="C30" s="8" t="n">
        <v>1</v>
      </c>
      <c r="D30" s="8" t="n">
        <v>0</v>
      </c>
      <c r="E30" s="8" t="n">
        <v>1</v>
      </c>
      <c r="F30" s="8" t="n">
        <v>1</v>
      </c>
    </row>
    <row r="31" customFormat="false" ht="15" hidden="false" customHeight="false" outlineLevel="0" collapsed="false">
      <c r="D31" s="11"/>
    </row>
    <row r="32" customFormat="false" ht="15" hidden="false" customHeight="false" outlineLevel="0" collapsed="false">
      <c r="A32" s="9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9.4" hidden="false" customHeight="false" outlineLevel="0" collapsed="false">
      <c r="A1" s="1" t="s">
        <v>146</v>
      </c>
    </row>
    <row r="2" customFormat="false" ht="17.15" hidden="false" customHeight="false" outlineLevel="0" collapsed="false">
      <c r="A2" s="5" t="s">
        <v>147</v>
      </c>
      <c r="B2" s="5" t="s">
        <v>148</v>
      </c>
      <c r="C2" s="5" t="s">
        <v>149</v>
      </c>
      <c r="D2" s="5" t="s">
        <v>150</v>
      </c>
      <c r="E2" s="5" t="s">
        <v>151</v>
      </c>
      <c r="F2" s="5" t="s">
        <v>152</v>
      </c>
    </row>
    <row r="3" customFormat="false" ht="17.15" hidden="false" customHeight="false" outlineLevel="0" collapsed="false">
      <c r="A3" s="7" t="s">
        <v>153</v>
      </c>
      <c r="B3" s="8" t="s">
        <v>99</v>
      </c>
      <c r="C3" s="8" t="n">
        <v>12</v>
      </c>
      <c r="D3" s="8" t="n">
        <v>1</v>
      </c>
      <c r="E3" s="8" t="n">
        <v>1</v>
      </c>
      <c r="F3" s="7" t="s">
        <v>154</v>
      </c>
    </row>
    <row r="4" customFormat="false" ht="17.15" hidden="false" customHeight="false" outlineLevel="0" collapsed="false">
      <c r="A4" s="7" t="s">
        <v>155</v>
      </c>
      <c r="B4" s="8" t="s">
        <v>100</v>
      </c>
      <c r="C4" s="8" t="n">
        <v>8</v>
      </c>
      <c r="D4" s="8" t="n">
        <v>1</v>
      </c>
      <c r="E4" s="8" t="n">
        <v>1</v>
      </c>
      <c r="F4" s="7" t="s">
        <v>156</v>
      </c>
    </row>
    <row r="5" customFormat="false" ht="17.15" hidden="false" customHeight="false" outlineLevel="0" collapsed="false">
      <c r="A5" s="7" t="s">
        <v>157</v>
      </c>
      <c r="B5" s="8" t="s">
        <v>101</v>
      </c>
      <c r="C5" s="8" t="n">
        <v>5</v>
      </c>
      <c r="D5" s="8" t="n">
        <v>1</v>
      </c>
      <c r="E5" s="8" t="n">
        <v>1</v>
      </c>
      <c r="F5" s="7" t="s">
        <v>158</v>
      </c>
    </row>
    <row r="6" customFormat="false" ht="17.15" hidden="false" customHeight="false" outlineLevel="0" collapsed="false">
      <c r="A6" s="7" t="s">
        <v>159</v>
      </c>
      <c r="B6" s="8" t="s">
        <v>99</v>
      </c>
      <c r="C6" s="8" t="n">
        <v>6</v>
      </c>
      <c r="D6" s="8" t="n">
        <v>2</v>
      </c>
      <c r="E6" s="8" t="n">
        <v>1</v>
      </c>
      <c r="F6" s="6" t="s">
        <v>160</v>
      </c>
    </row>
    <row r="7" customFormat="false" ht="17.15" hidden="false" customHeight="false" outlineLevel="0" collapsed="false">
      <c r="A7" s="7" t="s">
        <v>161</v>
      </c>
      <c r="B7" s="8" t="s">
        <v>100</v>
      </c>
      <c r="C7" s="8" t="n">
        <v>6</v>
      </c>
      <c r="D7" s="8" t="n">
        <v>2</v>
      </c>
      <c r="E7" s="8" t="n">
        <v>1</v>
      </c>
      <c r="F7" s="6" t="s">
        <v>160</v>
      </c>
    </row>
    <row r="8" customFormat="false" ht="17.15" hidden="false" customHeight="false" outlineLevel="0" collapsed="false">
      <c r="A8" s="7" t="s">
        <v>162</v>
      </c>
      <c r="B8" s="8" t="s">
        <v>101</v>
      </c>
      <c r="C8" s="8" t="n">
        <v>6</v>
      </c>
      <c r="D8" s="8" t="n">
        <v>3</v>
      </c>
      <c r="E8" s="8" t="n">
        <v>1</v>
      </c>
      <c r="F8" s="7" t="s">
        <v>163</v>
      </c>
    </row>
    <row r="9" customFormat="false" ht="17.15" hidden="false" customHeight="false" outlineLevel="0" collapsed="false">
      <c r="A9" s="7" t="s">
        <v>164</v>
      </c>
      <c r="B9" s="8" t="s">
        <v>101</v>
      </c>
      <c r="C9" s="8" t="n">
        <v>4</v>
      </c>
      <c r="D9" s="8" t="n">
        <v>2</v>
      </c>
      <c r="E9" s="8" t="n">
        <v>2</v>
      </c>
      <c r="F9" s="6" t="s">
        <v>165</v>
      </c>
    </row>
    <row r="10" customFormat="false" ht="17.15" hidden="false" customHeight="false" outlineLevel="0" collapsed="false">
      <c r="A10" s="7" t="s">
        <v>166</v>
      </c>
      <c r="B10" s="8" t="s">
        <v>99</v>
      </c>
      <c r="C10" s="8" t="n">
        <v>8</v>
      </c>
      <c r="D10" s="8" t="n">
        <v>4</v>
      </c>
      <c r="E10" s="8" t="n">
        <v>2</v>
      </c>
      <c r="F10" s="6" t="s">
        <v>167</v>
      </c>
    </row>
    <row r="11" customFormat="false" ht="17.15" hidden="false" customHeight="false" outlineLevel="0" collapsed="false">
      <c r="A11" s="7" t="s">
        <v>168</v>
      </c>
      <c r="B11" s="8" t="s">
        <v>100</v>
      </c>
      <c r="C11" s="8" t="n">
        <v>14</v>
      </c>
      <c r="D11" s="8" t="n">
        <v>3</v>
      </c>
      <c r="E11" s="8" t="n">
        <v>3</v>
      </c>
      <c r="F11" s="6" t="s">
        <v>169</v>
      </c>
    </row>
    <row r="13" customFormat="false" ht="15" hidden="false" customHeight="false" outlineLevel="0" collapsed="false">
      <c r="A13" s="9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26"/>
  </cols>
  <sheetData>
    <row r="1" customFormat="false" ht="19.4" hidden="false" customHeight="false" outlineLevel="0" collapsed="false">
      <c r="A1" s="1" t="s">
        <v>171</v>
      </c>
    </row>
    <row r="2" customFormat="false" ht="17.15" hidden="false" customHeight="false" outlineLevel="0" collapsed="false">
      <c r="A2" s="5" t="s">
        <v>172</v>
      </c>
      <c r="B2" s="5" t="s">
        <v>173</v>
      </c>
      <c r="C2" s="5" t="s">
        <v>174</v>
      </c>
      <c r="D2" s="5" t="s">
        <v>175</v>
      </c>
      <c r="E2" s="5" t="s">
        <v>176</v>
      </c>
      <c r="F2" s="5" t="s">
        <v>177</v>
      </c>
    </row>
    <row r="3" customFormat="false" ht="95.5" hidden="false" customHeight="false" outlineLevel="0" collapsed="false">
      <c r="A3" s="12" t="s">
        <v>111</v>
      </c>
      <c r="B3" s="12" t="s">
        <v>178</v>
      </c>
      <c r="C3" s="12" t="s">
        <v>179</v>
      </c>
      <c r="D3" s="13" t="s">
        <v>180</v>
      </c>
      <c r="E3" s="13" t="s">
        <v>181</v>
      </c>
      <c r="F3" s="13" t="s">
        <v>182</v>
      </c>
    </row>
    <row r="4" customFormat="false" ht="79.85" hidden="false" customHeight="false" outlineLevel="0" collapsed="false">
      <c r="A4" s="12" t="s">
        <v>111</v>
      </c>
      <c r="B4" s="12" t="s">
        <v>183</v>
      </c>
      <c r="C4" s="13" t="s">
        <v>184</v>
      </c>
      <c r="D4" s="13" t="s">
        <v>185</v>
      </c>
      <c r="E4" s="13" t="s">
        <v>186</v>
      </c>
      <c r="F4" s="13" t="s">
        <v>187</v>
      </c>
    </row>
    <row r="5" customFormat="false" ht="64.15" hidden="false" customHeight="false" outlineLevel="0" collapsed="false">
      <c r="A5" s="12" t="s">
        <v>112</v>
      </c>
      <c r="B5" s="12" t="s">
        <v>178</v>
      </c>
      <c r="C5" s="13" t="s">
        <v>188</v>
      </c>
      <c r="D5" s="12" t="s">
        <v>189</v>
      </c>
      <c r="E5" s="13" t="s">
        <v>190</v>
      </c>
      <c r="F5" s="12" t="s">
        <v>191</v>
      </c>
    </row>
    <row r="6" customFormat="false" ht="79.85" hidden="false" customHeight="false" outlineLevel="0" collapsed="false">
      <c r="A6" s="12" t="s">
        <v>113</v>
      </c>
      <c r="B6" s="12" t="s">
        <v>178</v>
      </c>
      <c r="C6" s="13" t="s">
        <v>192</v>
      </c>
      <c r="D6" s="13" t="s">
        <v>193</v>
      </c>
      <c r="E6" s="13" t="s">
        <v>194</v>
      </c>
      <c r="F6" s="13" t="s">
        <v>195</v>
      </c>
    </row>
    <row r="7" customFormat="false" ht="64.15" hidden="false" customHeight="false" outlineLevel="0" collapsed="false">
      <c r="A7" s="12" t="s">
        <v>113</v>
      </c>
      <c r="B7" s="12" t="s">
        <v>183</v>
      </c>
      <c r="C7" s="13" t="s">
        <v>196</v>
      </c>
      <c r="D7" s="13" t="s">
        <v>197</v>
      </c>
      <c r="E7" s="13" t="s">
        <v>198</v>
      </c>
      <c r="F7" s="13" t="s">
        <v>199</v>
      </c>
    </row>
    <row r="8" customFormat="false" ht="48.5" hidden="false" customHeight="false" outlineLevel="0" collapsed="false">
      <c r="A8" s="12" t="s">
        <v>200</v>
      </c>
      <c r="B8" s="12" t="s">
        <v>178</v>
      </c>
      <c r="C8" s="13" t="s">
        <v>201</v>
      </c>
      <c r="D8" s="13" t="s">
        <v>202</v>
      </c>
      <c r="E8" s="13" t="s">
        <v>203</v>
      </c>
      <c r="F8" s="13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8"/>
    <col collapsed="false" customWidth="true" hidden="false" outlineLevel="0" max="3" min="3" style="0" width="26"/>
  </cols>
  <sheetData>
    <row r="1" customFormat="false" ht="19.4" hidden="false" customHeight="false" outlineLevel="0" collapsed="false">
      <c r="A1" s="1" t="s">
        <v>205</v>
      </c>
    </row>
    <row r="2" customFormat="false" ht="15" hidden="false" customHeight="false" outlineLevel="0" collapsed="false">
      <c r="A2" s="5" t="s">
        <v>206</v>
      </c>
      <c r="B2" s="5" t="s">
        <v>207</v>
      </c>
      <c r="C2" s="5" t="s">
        <v>208</v>
      </c>
    </row>
    <row r="3" customFormat="false" ht="32.8" hidden="false" customHeight="false" outlineLevel="0" collapsed="false">
      <c r="A3" s="12" t="s">
        <v>209</v>
      </c>
      <c r="B3" s="13" t="s">
        <v>210</v>
      </c>
      <c r="C3" s="12" t="s">
        <v>211</v>
      </c>
    </row>
    <row r="4" customFormat="false" ht="17.15" hidden="false" customHeight="false" outlineLevel="0" collapsed="false">
      <c r="A4" s="12" t="s">
        <v>212</v>
      </c>
      <c r="B4" s="13" t="s">
        <v>213</v>
      </c>
      <c r="C4" s="12" t="s">
        <v>214</v>
      </c>
    </row>
    <row r="5" customFormat="false" ht="17.15" hidden="false" customHeight="false" outlineLevel="0" collapsed="false">
      <c r="A5" s="12" t="s">
        <v>215</v>
      </c>
      <c r="B5" s="12" t="s">
        <v>216</v>
      </c>
      <c r="C5" s="12" t="s">
        <v>217</v>
      </c>
    </row>
    <row r="6" customFormat="false" ht="17.15" hidden="false" customHeight="false" outlineLevel="0" collapsed="false">
      <c r="A6" s="12" t="s">
        <v>218</v>
      </c>
      <c r="B6" s="12" t="s">
        <v>219</v>
      </c>
      <c r="C6" s="13" t="s">
        <v>220</v>
      </c>
    </row>
    <row r="7" customFormat="false" ht="32.8" hidden="false" customHeight="false" outlineLevel="0" collapsed="false">
      <c r="A7" s="12" t="s">
        <v>221</v>
      </c>
      <c r="B7" s="12" t="s">
        <v>222</v>
      </c>
      <c r="C7" s="13" t="s">
        <v>223</v>
      </c>
    </row>
    <row r="8" customFormat="false" ht="32.8" hidden="false" customHeight="false" outlineLevel="0" collapsed="false">
      <c r="A8" s="12" t="s">
        <v>224</v>
      </c>
      <c r="B8" s="12" t="s">
        <v>225</v>
      </c>
      <c r="C8" s="13" t="s">
        <v>226</v>
      </c>
    </row>
    <row r="9" customFormat="false" ht="17.15" hidden="false" customHeight="false" outlineLevel="0" collapsed="false">
      <c r="A9" s="12" t="s">
        <v>227</v>
      </c>
      <c r="B9" s="12" t="s">
        <v>228</v>
      </c>
      <c r="C9" s="13" t="s">
        <v>229</v>
      </c>
    </row>
    <row r="10" customFormat="false" ht="17.15" hidden="false" customHeight="false" outlineLevel="0" collapsed="false">
      <c r="A10" s="12" t="s">
        <v>230</v>
      </c>
      <c r="B10" s="12" t="s">
        <v>231</v>
      </c>
      <c r="C10" s="12" t="s">
        <v>232</v>
      </c>
    </row>
    <row r="11" customFormat="false" ht="32.8" hidden="false" customHeight="false" outlineLevel="0" collapsed="false">
      <c r="A11" s="12" t="s">
        <v>233</v>
      </c>
      <c r="B11" s="13" t="s">
        <v>234</v>
      </c>
      <c r="C11" s="12" t="s">
        <v>235</v>
      </c>
    </row>
    <row r="12" customFormat="false" ht="32.8" hidden="false" customHeight="false" outlineLevel="0" collapsed="false">
      <c r="A12" s="12" t="s">
        <v>236</v>
      </c>
      <c r="B12" s="12" t="s">
        <v>237</v>
      </c>
      <c r="C12" s="12" t="s">
        <v>238</v>
      </c>
    </row>
    <row r="13" customFormat="false" ht="17.15" hidden="false" customHeight="false" outlineLevel="0" collapsed="false">
      <c r="A13" s="12" t="s">
        <v>239</v>
      </c>
      <c r="B13" s="13" t="s">
        <v>240</v>
      </c>
      <c r="C13" s="13" t="s">
        <v>241</v>
      </c>
    </row>
    <row r="14" customFormat="false" ht="17.15" hidden="false" customHeight="false" outlineLevel="0" collapsed="false">
      <c r="A14" s="12" t="s">
        <v>242</v>
      </c>
      <c r="B14" s="12" t="s">
        <v>243</v>
      </c>
      <c r="C14" s="13" t="s">
        <v>244</v>
      </c>
    </row>
    <row r="15" customFormat="false" ht="32.8" hidden="false" customHeight="false" outlineLevel="0" collapsed="false">
      <c r="A15" s="12" t="s">
        <v>245</v>
      </c>
      <c r="B15" s="13" t="s">
        <v>246</v>
      </c>
      <c r="C15" s="13" t="s">
        <v>247</v>
      </c>
    </row>
    <row r="16" customFormat="false" ht="32.8" hidden="false" customHeight="false" outlineLevel="0" collapsed="false">
      <c r="A16" s="12" t="s">
        <v>248</v>
      </c>
      <c r="B16" s="13" t="s">
        <v>249</v>
      </c>
      <c r="C16" s="13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74"/>
  </cols>
  <sheetData>
    <row r="1" customFormat="false" ht="19.4" hidden="false" customHeight="false" outlineLevel="0" collapsed="false">
      <c r="A1" s="1" t="s">
        <v>251</v>
      </c>
    </row>
    <row r="2" customFormat="false" ht="15" hidden="false" customHeight="false" outlineLevel="0" collapsed="false">
      <c r="A2" s="5" t="s">
        <v>252</v>
      </c>
      <c r="B2" s="5" t="s">
        <v>253</v>
      </c>
      <c r="C2" s="5" t="s">
        <v>254</v>
      </c>
    </row>
    <row r="3" customFormat="false" ht="64.15" hidden="false" customHeight="false" outlineLevel="0" collapsed="false">
      <c r="A3" s="12" t="s">
        <v>255</v>
      </c>
      <c r="B3" s="13" t="s">
        <v>256</v>
      </c>
      <c r="C3" s="12" t="s">
        <v>257</v>
      </c>
    </row>
    <row r="4" customFormat="false" ht="48.5" hidden="false" customHeight="false" outlineLevel="0" collapsed="false">
      <c r="A4" s="12" t="s">
        <v>258</v>
      </c>
      <c r="B4" s="13" t="s">
        <v>259</v>
      </c>
      <c r="C4" s="12" t="s">
        <v>260</v>
      </c>
    </row>
    <row r="5" customFormat="false" ht="32.8" hidden="false" customHeight="false" outlineLevel="0" collapsed="false">
      <c r="A5" s="12" t="s">
        <v>261</v>
      </c>
      <c r="B5" s="13" t="s">
        <v>262</v>
      </c>
      <c r="C5" s="13" t="s">
        <v>263</v>
      </c>
    </row>
    <row r="6" customFormat="false" ht="48.5" hidden="false" customHeight="false" outlineLevel="0" collapsed="false">
      <c r="A6" s="12" t="s">
        <v>264</v>
      </c>
      <c r="B6" s="12" t="s">
        <v>265</v>
      </c>
      <c r="C6" s="13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4" t="s">
        <v>267</v>
      </c>
    </row>
    <row r="2" customFormat="false" ht="15" hidden="false" customHeight="false" outlineLevel="0" collapsed="false">
      <c r="A2" s="3" t="s">
        <v>268</v>
      </c>
    </row>
    <row r="3" customFormat="false" ht="61.5" hidden="false" customHeight="true" outlineLevel="0" collapsed="false">
      <c r="A3" s="15" t="s">
        <v>269</v>
      </c>
    </row>
    <row r="5" customFormat="false" ht="15" hidden="false" customHeight="false" outlineLevel="0" collapsed="false">
      <c r="A5" s="3" t="s">
        <v>270</v>
      </c>
    </row>
    <row r="6" customFormat="false" ht="61.5" hidden="false" customHeight="true" outlineLevel="0" collapsed="false">
      <c r="A6" s="15" t="s">
        <v>271</v>
      </c>
    </row>
    <row r="8" customFormat="false" ht="15" hidden="false" customHeight="false" outlineLevel="0" collapsed="false">
      <c r="A8" s="3" t="s">
        <v>272</v>
      </c>
    </row>
    <row r="9" customFormat="false" ht="61.5" hidden="false" customHeight="true" outlineLevel="0" collapsed="false">
      <c r="A9" s="16" t="s">
        <v>273</v>
      </c>
    </row>
    <row r="11" customFormat="false" ht="15" hidden="false" customHeight="false" outlineLevel="0" collapsed="false">
      <c r="A11" s="3" t="s">
        <v>274</v>
      </c>
    </row>
    <row r="12" customFormat="false" ht="61.5" hidden="false" customHeight="true" outlineLevel="0" collapsed="false">
      <c r="A12" s="15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2026-07-13T00:12:59Z</dcterms:created>
  <dc:creator>openpyxl</dc:creator>
  <dc:description/>
  <dc:language>en-US</dc:language>
  <cp:lastModifiedBy/>
  <dcterms:modified xsi:type="dcterms:W3CDTF">2026-07-13T00:14:30Z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